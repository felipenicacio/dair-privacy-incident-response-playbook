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oes" sheetId="1" state="visible" r:id="rId3"/>
    <sheet name="Cadastro_Incidente" sheetId="2" state="visible" r:id="rId4"/>
    <sheet name="Linha_do_Tempo" sheetId="3" state="visible" r:id="rId5"/>
    <sheet name="Registro_Decisoes" sheetId="4" state="visible" r:id="rId6"/>
    <sheet name="Gestao_Evidencias" sheetId="5" state="visible" r:id="rId7"/>
    <sheet name="Plano_Acoes" sheetId="6" state="visible" r:id="rId8"/>
    <sheet name="Painel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" authorId="0">
      <text>
        <r>
          <rPr>
            <sz val="10"/>
            <rFont val="Arial"/>
            <family val="2"/>
          </rPr>
          <t xml:space="preserve">INC-AAAA-NNN</t>
        </r>
      </text>
    </comment>
    <comment ref="B4" authorId="0">
      <text>
        <r>
          <rPr>
            <sz val="10"/>
            <rFont val="Arial"/>
            <family val="2"/>
          </rPr>
          <t xml:space="preserve">dd/mm/aaaa hh:mm</t>
        </r>
      </text>
    </comment>
    <comment ref="B5" authorId="0">
      <text>
        <r>
          <rPr>
            <sz val="10"/>
            <rFont val="Arial"/>
            <family val="2"/>
          </rPr>
          <t xml:space="preserve">dd/mm/aaaa hh:mm</t>
        </r>
      </text>
    </comment>
    <comment ref="B6" authorId="0">
      <text>
        <r>
          <rPr>
            <sz val="10"/>
            <rFont val="Arial"/>
            <family val="2"/>
          </rPr>
          <t xml:space="preserve">dd/mm/aaaa hh:mm — fundamentar na aba Registro_Decisoes</t>
        </r>
      </text>
    </comment>
    <comment ref="B7" authorId="0">
      <text>
        <r>
          <rPr>
            <sz val="10"/>
            <rFont val="Arial"/>
            <family val="2"/>
          </rPr>
          <t xml:space="preserve">Resumo factual, sem conclusões antecipadas</t>
        </r>
      </text>
    </comment>
    <comment ref="B10" authorId="0">
      <text>
        <r>
          <rPr>
            <sz val="10"/>
            <rFont val="Arial"/>
            <family val="2"/>
          </rPr>
          <t xml:space="preserve">Ver matriz de papéis no guia de governança</t>
        </r>
      </text>
    </comment>
    <comment ref="B14" authorId="0">
      <text>
        <r>
          <rPr>
            <sz val="10"/>
            <rFont val="Arial"/>
            <family val="2"/>
          </rPr>
          <t xml:space="preserve">Número; indicar se é confirmado ou estimado</t>
        </r>
      </text>
    </comment>
  </commentList>
</comments>
</file>

<file path=xl/sharedStrings.xml><?xml version="1.0" encoding="utf-8"?>
<sst xmlns="http://schemas.openxmlformats.org/spreadsheetml/2006/main" count="109" uniqueCount="105">
  <si>
    <t xml:space="preserve">DAIR — Registro e Gestão de Incidentes</t>
  </si>
  <si>
    <t xml:space="preserve">Versão 0.3 · Instrumento 1 de 5 · Modelo reutilizável</t>
  </si>
  <si>
    <t xml:space="preserve">O que é este arquivo</t>
  </si>
  <si>
    <t xml:space="preserve">Planilha operacional para registrar, ao longo de um incidente envolvendo dados pessoais, o cadastro do caso, a linha do tempo, as decisões, as evidências e o plano de ações, com um painel de acompanhamento consolidado.</t>
  </si>
  <si>
    <t xml:space="preserve">Como usar</t>
  </si>
  <si>
    <t xml:space="preserve">Preencha apenas as células com fundo amarelo (entrada manual). Células com fundo cinza calculam automaticamente a partir de fórmulas — não digite nelas. Use os menus suspensos sempre que disponíveis para manter a nomenclatura consistente entre instrumentos.</t>
  </si>
  <si>
    <t xml:space="preserve">Identificadores</t>
  </si>
  <si>
    <t xml:space="preserve">Adote o padrão INC-AAAA-NNN para o incidente (ex.: INC-2026-001). Eventos, decisões, evidências, ações e ciclos usam os prefixos EVT-, DEC-, EVD-, ACA- e CIC-, respectivamente, numerados sequencialmente dentro do incidente. Esses mesmos prefixos são usados nos Instrumentos 2, 3, 4 e 5 para permitir rastreabilidade cruzada.</t>
  </si>
  <si>
    <t xml:space="preserve">Metodologia DAIR</t>
  </si>
  <si>
    <t xml:space="preserve">Os waypoints (Prepare, Detect, Verify &amp; Triage, Scope, Contain, Eradicate, Recover, Debrief) seguem a formulação original de Joshua Wright / SANS Institute. O Response Actions Loop (Scope, Contain, Eradicate, Recover) é iterativo: registre quantas iterações forem necessárias usando a coluna 'Ciclo DAIR' na aba Linha_do_Tempo e no Plano_Acoes. Não há ordem obrigatória nem limite de reentradas.</t>
  </si>
  <si>
    <t xml:space="preserve">Campos sem informação</t>
  </si>
  <si>
    <t xml:space="preserve">Quando um dado ainda não é conhecido, utilize 'Não informado' ou 'Desconhecido' nas listas disponíveis, em vez de deixar a célula em branco sem explicação ou de presumir um valor.</t>
  </si>
  <si>
    <t xml:space="preserve">Regulatório</t>
  </si>
  <si>
    <t xml:space="preserve">Esta planilha registra fatos técnicos e decisões. A avaliação de risco aos titulares e a decisão sobre comunicação à ANPD ficam no Instrumento 2 (DAIR_Avaliacao_Riscos_Titulares_ANPD_v0.3.xlsx), que deve ser consultado em conjunto — nenhuma conclusão regulatória deve ser inferida apenas a partir desta planilha.</t>
  </si>
  <si>
    <t xml:space="preserve">Instrumentos relacionados</t>
  </si>
  <si>
    <t xml:space="preserve">Instrumento 2 (avaliação de risco e decisão de comunicação), Instrumento 3 (checklist operacional dinâmico), Instrumento 4 (relatório de resposta) e Instrumento 5 (kit de comunicações). Ver guias/04-utilizar-instrumentos.md no repositório para o fluxo completo.</t>
  </si>
  <si>
    <t xml:space="preserve">Limitações</t>
  </si>
  <si>
    <t xml:space="preserve">Não há sincronização automática entre arquivos nesta versão. A contagem de prazos e os indicadores são cálculos de apoio e exigem validação jurídica e técnica. Esta planilha não declara conformidade regulatória.</t>
  </si>
  <si>
    <t xml:space="preserve">Legenda</t>
  </si>
  <si>
    <t xml:space="preserve">Entrada manual</t>
  </si>
  <si>
    <t xml:space="preserve">Preencher diretamente</t>
  </si>
  <si>
    <t xml:space="preserve">Cálculo automático</t>
  </si>
  <si>
    <t xml:space="preserve">Não editar — resultado de fórmula</t>
  </si>
  <si>
    <t xml:space="preserve">Cadastro do Incidente</t>
  </si>
  <si>
    <t xml:space="preserve">Identificador único do incidente</t>
  </si>
  <si>
    <t xml:space="preserve">Data e horário de detecção</t>
  </si>
  <si>
    <t xml:space="preserve">Data e horário de confirmação</t>
  </si>
  <si>
    <t xml:space="preserve">Marco de conhecimento do controlador sobre afetação de dados pessoais</t>
  </si>
  <si>
    <t xml:space="preserve">Descrição do incidente</t>
  </si>
  <si>
    <t xml:space="preserve">Sistemas e serviços afetados</t>
  </si>
  <si>
    <t xml:space="preserve">Processos de negócio impactados</t>
  </si>
  <si>
    <t xml:space="preserve">Responsáveis (líder IR, encarregado, demais papéis)</t>
  </si>
  <si>
    <t xml:space="preserve">Classificação de severidade</t>
  </si>
  <si>
    <t xml:space="preserve">Situação atual do incidente</t>
  </si>
  <si>
    <t xml:space="preserve">Dados pessoais envolvidos (categorias)</t>
  </si>
  <si>
    <t xml:space="preserve">Quantidade confirmada ou estimada de titulares afetados</t>
  </si>
  <si>
    <t xml:space="preserve">Linha do Tempo</t>
  </si>
  <si>
    <t xml:space="preserve">Um registro por evento relevante. Use quantas linhas forem necessárias.</t>
  </si>
  <si>
    <t xml:space="preserve">ID do Evento</t>
  </si>
  <si>
    <t xml:space="preserve">Data e Horário</t>
  </si>
  <si>
    <t xml:space="preserve">Fato Observado</t>
  </si>
  <si>
    <t xml:space="preserve">Fonte da Informação</t>
  </si>
  <si>
    <t xml:space="preserve">Evidência Relacionada (ID)</t>
  </si>
  <si>
    <t xml:space="preserve">Waypoint DAIR</t>
  </si>
  <si>
    <t xml:space="preserve">Ciclo DAIR</t>
  </si>
  <si>
    <t xml:space="preserve">Responsável</t>
  </si>
  <si>
    <t xml:space="preserve">Situação</t>
  </si>
  <si>
    <t xml:space="preserve">Próxima Ação</t>
  </si>
  <si>
    <t xml:space="preserve">Registro de Decisões</t>
  </si>
  <si>
    <t xml:space="preserve">Toda decisão relevante, inclusive revisões de decisões anteriores.</t>
  </si>
  <si>
    <t xml:space="preserve">ID da Decisão</t>
  </si>
  <si>
    <t xml:space="preserve">Versão</t>
  </si>
  <si>
    <t xml:space="preserve">Situação Anterior</t>
  </si>
  <si>
    <t xml:space="preserve">Novas Informações</t>
  </si>
  <si>
    <t xml:space="preserve">Alternativas Consideradas</t>
  </si>
  <si>
    <t xml:space="preserve">Decisão Adotada</t>
  </si>
  <si>
    <t xml:space="preserve">Justificativa</t>
  </si>
  <si>
    <t xml:space="preserve">Autoridade Responsável</t>
  </si>
  <si>
    <t xml:space="preserve">Evidências (IDs)</t>
  </si>
  <si>
    <t xml:space="preserve">Condições de Revisão</t>
  </si>
  <si>
    <t xml:space="preserve">Gestão de Evidências</t>
  </si>
  <si>
    <t xml:space="preserve">Nunca inserir evidências reais, hashes fictícios ou dados sensíveis neste repositório público.</t>
  </si>
  <si>
    <t xml:space="preserve">ID da Evidência</t>
  </si>
  <si>
    <t xml:space="preserve">Descrição</t>
  </si>
  <si>
    <t xml:space="preserve">Origem</t>
  </si>
  <si>
    <t xml:space="preserve">Data da Coleta</t>
  </si>
  <si>
    <t xml:space="preserve">Local de Armazenamento Seguro</t>
  </si>
  <si>
    <t xml:space="preserve">Integridade Verificada</t>
  </si>
  <si>
    <t xml:space="preserve">Hash (quando aplicável)</t>
  </si>
  <si>
    <t xml:space="preserve">Histórico de Custódia</t>
  </si>
  <si>
    <t xml:space="preserve">Restrições de Acesso</t>
  </si>
  <si>
    <t xml:space="preserve">Plano de Ações</t>
  </si>
  <si>
    <t xml:space="preserve">Ações de resposta e corretivas. O campo Tipo distingue ação operacional de ação corretiva (pós-debrief).</t>
  </si>
  <si>
    <t xml:space="preserve">ID da Ação</t>
  </si>
  <si>
    <t xml:space="preserve">Ação</t>
  </si>
  <si>
    <t xml:space="preserve">Tipo</t>
  </si>
  <si>
    <t xml:space="preserve">Waypoint Relacionado</t>
  </si>
  <si>
    <t xml:space="preserve">Prioridade</t>
  </si>
  <si>
    <t xml:space="preserve">Prazo</t>
  </si>
  <si>
    <t xml:space="preserve">Status</t>
  </si>
  <si>
    <t xml:space="preserve">Evidência de Conclusão (ID)</t>
  </si>
  <si>
    <t xml:space="preserve">Dependências</t>
  </si>
  <si>
    <t xml:space="preserve">Painel de Acompanhamento</t>
  </si>
  <si>
    <t xml:space="preserve">Indicadores calculados a partir das demais abas. Não editar células cinza.</t>
  </si>
  <si>
    <t xml:space="preserve">Situação geral do incidente</t>
  </si>
  <si>
    <t xml:space="preserve">Replica a situação atual cadastrada.</t>
  </si>
  <si>
    <t xml:space="preserve">Ações pendentes (não concluídas)</t>
  </si>
  <si>
    <t xml:space="preserve">Conta ações com descrição preenchida cujo status não é Concluída nem Cancelada.</t>
  </si>
  <si>
    <t xml:space="preserve">Ações concluídas</t>
  </si>
  <si>
    <t xml:space="preserve">Decisões registradas</t>
  </si>
  <si>
    <t xml:space="preserve">Conta linhas com Decisão Adotada preenchida.</t>
  </si>
  <si>
    <t xml:space="preserve">Quantidade de reavaliações (versões de decisão &gt; 1)</t>
  </si>
  <si>
    <t xml:space="preserve">Depende do preenchimento numérico da coluna Versão.</t>
  </si>
  <si>
    <t xml:space="preserve">Eventos registrados na linha do tempo</t>
  </si>
  <si>
    <t xml:space="preserve">Conta linhas com Fato Observado preenchido.</t>
  </si>
  <si>
    <t xml:space="preserve">Ciclos DAIR distintos identificados</t>
  </si>
  <si>
    <t xml:space="preserve">Estimativa; revisar manualmente em caso de inconsistência de preenchimento.</t>
  </si>
  <si>
    <t xml:space="preserve">Evidências registradas</t>
  </si>
  <si>
    <t xml:space="preserve">Conta linhas com Descrição preenchida.</t>
  </si>
  <si>
    <t xml:space="preserve">Evidências com integridade não verificada ou não informada</t>
  </si>
  <si>
    <t xml:space="preserve">Inclui 'Não', 'Parcial', 'Não informado' e células em branco com Descrição preenchida.</t>
  </si>
  <si>
    <t xml:space="preserve">Tempo entre detecção e confirmação (cálculo de apoio)</t>
  </si>
  <si>
    <t xml:space="preserve">Cálculo de apoio; não substitui indicador oficial de tempo de resposta.</t>
  </si>
  <si>
    <t xml:space="preserve">Pendências de privacidade e comunicação</t>
  </si>
  <si>
    <t xml:space="preserve">Esta planilha não registra decisão regulatória.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</si>
</sst>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Calibri"/>
      <family val="0"/>
      <charset val="1"/>
    </font>
    <font>
      <i val="true"/>
      <sz val="11"/>
      <color rgb="FF7F7F7F"/>
      <name val="Calibri"/>
      <family val="0"/>
      <charset val="1"/>
    </font>
    <font>
      <b val="true"/>
      <sz val="10"/>
      <color rgb="FF1F3864"/>
      <name val="Calibri"/>
      <family val="0"/>
      <charset val="1"/>
    </font>
    <font>
      <sz val="10"/>
      <color rgb="FF000000"/>
      <name val="Calibri"/>
      <family val="0"/>
      <charset val="1"/>
    </font>
    <font>
      <i val="true"/>
      <sz val="9"/>
      <color rgb="FF7F7F7F"/>
      <name val="Calibri"/>
      <family val="0"/>
      <charset val="1"/>
    </font>
    <font>
      <sz val="10"/>
      <name val="Arial"/>
      <family val="2"/>
    </font>
    <font>
      <b val="true"/>
      <sz val="10"/>
      <color rgb="FFFFFFFF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DE7"/>
        <bgColor rgb="FFFFFFFF"/>
      </patternFill>
    </fill>
    <fill>
      <patternFill patternType="solid">
        <fgColor rgb="FFEDEDED"/>
        <bgColor rgb="FFFDE9E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3" borderId="1" xfId="0" applyFont="false" applyBorder="true" applyAlignment="true" applyProtection="true">
      <alignment horizontal="left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7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FF2CC"/>
        </patternFill>
      </fill>
    </dxf>
    <dxf>
      <fill>
        <patternFill>
          <bgColor rgb="FFFDE9E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DE7"/>
      <rgbColor rgb="FFEDED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DE9E9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100"/>
  </cols>
  <sheetData>
    <row r="1" customFormat="false" ht="33.75" hidden="false" customHeight="true" outlineLevel="0" collapsed="false">
      <c r="A1" s="2" t="s">
        <v>0</v>
      </c>
      <c r="B1" s="2"/>
    </row>
    <row r="2" customFormat="false" ht="15" hidden="false" customHeight="false" outlineLevel="0" collapsed="false">
      <c r="A2" s="3" t="s">
        <v>1</v>
      </c>
      <c r="B2" s="3"/>
    </row>
    <row r="4" customFormat="false" ht="54.75" hidden="false" customHeight="true" outlineLevel="0" collapsed="false">
      <c r="A4" s="4" t="s">
        <v>2</v>
      </c>
      <c r="B4" s="5" t="s">
        <v>3</v>
      </c>
    </row>
    <row r="5" customFormat="false" ht="54.75" hidden="false" customHeight="true" outlineLevel="0" collapsed="false">
      <c r="A5" s="4" t="s">
        <v>4</v>
      </c>
      <c r="B5" s="5" t="s">
        <v>5</v>
      </c>
    </row>
    <row r="6" customFormat="false" ht="54.75" hidden="false" customHeight="true" outlineLevel="0" collapsed="false">
      <c r="A6" s="4" t="s">
        <v>6</v>
      </c>
      <c r="B6" s="5" t="s">
        <v>7</v>
      </c>
    </row>
    <row r="7" customFormat="false" ht="54.75" hidden="false" customHeight="true" outlineLevel="0" collapsed="false">
      <c r="A7" s="4" t="s">
        <v>8</v>
      </c>
      <c r="B7" s="5" t="s">
        <v>9</v>
      </c>
    </row>
    <row r="8" customFormat="false" ht="54.75" hidden="false" customHeight="true" outlineLevel="0" collapsed="false">
      <c r="A8" s="4" t="s">
        <v>10</v>
      </c>
      <c r="B8" s="5" t="s">
        <v>11</v>
      </c>
    </row>
    <row r="9" customFormat="false" ht="54.75" hidden="false" customHeight="true" outlineLevel="0" collapsed="false">
      <c r="A9" s="4" t="s">
        <v>12</v>
      </c>
      <c r="B9" s="5" t="s">
        <v>13</v>
      </c>
    </row>
    <row r="10" customFormat="false" ht="54.75" hidden="false" customHeight="true" outlineLevel="0" collapsed="false">
      <c r="A10" s="4" t="s">
        <v>14</v>
      </c>
      <c r="B10" s="5" t="s">
        <v>15</v>
      </c>
    </row>
    <row r="11" customFormat="false" ht="54.75" hidden="false" customHeight="true" outlineLevel="0" collapsed="false">
      <c r="A11" s="4" t="s">
        <v>16</v>
      </c>
      <c r="B11" s="5" t="s">
        <v>17</v>
      </c>
    </row>
    <row r="13" customFormat="false" ht="15" hidden="false" customHeight="false" outlineLevel="0" collapsed="false">
      <c r="A13" s="6" t="s">
        <v>18</v>
      </c>
    </row>
    <row r="14" customFormat="false" ht="15" hidden="false" customHeight="false" outlineLevel="0" collapsed="false">
      <c r="A14" s="7" t="s">
        <v>19</v>
      </c>
      <c r="B14" s="8" t="s">
        <v>20</v>
      </c>
    </row>
    <row r="15" customFormat="false" ht="15" hidden="false" customHeight="false" outlineLevel="0" collapsed="false">
      <c r="A15" s="9" t="s">
        <v>21</v>
      </c>
      <c r="B15" s="8" t="s">
        <v>22</v>
      </c>
    </row>
  </sheetData>
  <mergeCells count="2">
    <mergeCell ref="A1:B1"/>
    <mergeCell ref="A2: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70"/>
  </cols>
  <sheetData>
    <row r="1" customFormat="false" ht="33.75" hidden="false" customHeight="true" outlineLevel="0" collapsed="false">
      <c r="A1" s="2" t="s">
        <v>23</v>
      </c>
      <c r="B1" s="2"/>
    </row>
    <row r="3" customFormat="false" ht="27.75" hidden="false" customHeight="true" outlineLevel="0" collapsed="false">
      <c r="A3" s="10" t="s">
        <v>24</v>
      </c>
      <c r="B3" s="11"/>
    </row>
    <row r="4" customFormat="false" ht="27.75" hidden="false" customHeight="true" outlineLevel="0" collapsed="false">
      <c r="A4" s="10" t="s">
        <v>25</v>
      </c>
      <c r="B4" s="11"/>
    </row>
    <row r="5" customFormat="false" ht="27.75" hidden="false" customHeight="true" outlineLevel="0" collapsed="false">
      <c r="A5" s="10" t="s">
        <v>26</v>
      </c>
      <c r="B5" s="11"/>
    </row>
    <row r="6" customFormat="false" ht="27.75" hidden="false" customHeight="true" outlineLevel="0" collapsed="false">
      <c r="A6" s="10" t="s">
        <v>27</v>
      </c>
      <c r="B6" s="11"/>
    </row>
    <row r="7" customFormat="false" ht="27.75" hidden="false" customHeight="true" outlineLevel="0" collapsed="false">
      <c r="A7" s="10" t="s">
        <v>28</v>
      </c>
      <c r="B7" s="11"/>
    </row>
    <row r="8" customFormat="false" ht="27.75" hidden="false" customHeight="true" outlineLevel="0" collapsed="false">
      <c r="A8" s="10" t="s">
        <v>29</v>
      </c>
      <c r="B8" s="11"/>
    </row>
    <row r="9" customFormat="false" ht="27.75" hidden="false" customHeight="true" outlineLevel="0" collapsed="false">
      <c r="A9" s="10" t="s">
        <v>30</v>
      </c>
      <c r="B9" s="11"/>
    </row>
    <row r="10" customFormat="false" ht="27.75" hidden="false" customHeight="true" outlineLevel="0" collapsed="false">
      <c r="A10" s="10" t="s">
        <v>31</v>
      </c>
      <c r="B10" s="11"/>
    </row>
    <row r="11" customFormat="false" ht="27.75" hidden="false" customHeight="true" outlineLevel="0" collapsed="false">
      <c r="A11" s="10" t="s">
        <v>32</v>
      </c>
      <c r="B11" s="11"/>
    </row>
    <row r="12" customFormat="false" ht="27.75" hidden="false" customHeight="true" outlineLevel="0" collapsed="false">
      <c r="A12" s="10" t="s">
        <v>33</v>
      </c>
      <c r="B12" s="11"/>
    </row>
    <row r="13" customFormat="false" ht="27.75" hidden="false" customHeight="true" outlineLevel="0" collapsed="false">
      <c r="A13" s="10" t="s">
        <v>34</v>
      </c>
      <c r="B13" s="11"/>
    </row>
    <row r="14" customFormat="false" ht="27.75" hidden="false" customHeight="true" outlineLevel="0" collapsed="false">
      <c r="A14" s="10" t="s">
        <v>35</v>
      </c>
      <c r="B14" s="11"/>
    </row>
  </sheetData>
  <mergeCells count="1">
    <mergeCell ref="A1:B1"/>
  </mergeCells>
  <dataValidations count="2"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B11" type="list">
      <formula1>"Baixa,Média,Alta,Crítica"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B12" type="list">
      <formula1>"Em investigação,Em contenção,Em erradicação,Em recuperação,Resposta técnica encerrada,Encerrado (todas as pendências resolvidas)"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6"/>
    <col collapsed="false" customWidth="true" hidden="false" outlineLevel="0" max="3" min="3" style="1" width="40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6"/>
    <col collapsed="false" customWidth="true" hidden="false" outlineLevel="0" max="7" min="7" style="1" width="10"/>
    <col collapsed="false" customWidth="true" hidden="false" outlineLevel="0" max="8" min="8" style="1" width="18"/>
    <col collapsed="false" customWidth="true" hidden="false" outlineLevel="0" max="9" min="9" style="1" width="16"/>
    <col collapsed="false" customWidth="true" hidden="false" outlineLevel="0" max="10" min="10" style="1" width="30"/>
  </cols>
  <sheetData>
    <row r="1" customFormat="false" ht="33.75" hidden="false" customHeight="true" outlineLevel="0" collapsed="false">
      <c r="A1" s="2" t="s">
        <v>36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37</v>
      </c>
      <c r="B2" s="3"/>
      <c r="C2" s="3"/>
      <c r="D2" s="3"/>
      <c r="E2" s="3"/>
      <c r="F2" s="3"/>
      <c r="G2" s="3"/>
      <c r="H2" s="3"/>
      <c r="I2" s="3"/>
      <c r="J2" s="3"/>
    </row>
    <row r="3" customFormat="false" ht="31.5" hidden="false" customHeight="true" outlineLevel="0" collapsed="false">
      <c r="A3" s="12" t="s">
        <v>38</v>
      </c>
      <c r="B3" s="12" t="s">
        <v>39</v>
      </c>
      <c r="C3" s="12" t="s">
        <v>40</v>
      </c>
      <c r="D3" s="12" t="s">
        <v>41</v>
      </c>
      <c r="E3" s="12" t="s">
        <v>42</v>
      </c>
      <c r="F3" s="12" t="s">
        <v>43</v>
      </c>
      <c r="G3" s="12" t="s">
        <v>44</v>
      </c>
      <c r="H3" s="12" t="s">
        <v>45</v>
      </c>
      <c r="I3" s="12" t="s">
        <v>46</v>
      </c>
      <c r="J3" s="12" t="s">
        <v>47</v>
      </c>
    </row>
    <row r="4" customFormat="false" ht="15" hidden="false" customHeight="false" outlineLevel="0" collapsed="false">
      <c r="A4" s="13" t="str">
        <f aca="false">IF(C4="","","EVT-"&amp;TEXT(ROW()-3,"000"))</f>
        <v/>
      </c>
      <c r="B4" s="14"/>
      <c r="C4" s="14"/>
      <c r="D4" s="14"/>
      <c r="E4" s="14"/>
      <c r="F4" s="15"/>
      <c r="G4" s="15"/>
      <c r="H4" s="14"/>
      <c r="I4" s="15"/>
      <c r="J4" s="14"/>
    </row>
    <row r="5" customFormat="false" ht="15" hidden="false" customHeight="false" outlineLevel="0" collapsed="false">
      <c r="A5" s="13" t="str">
        <f aca="false">IF(C5="","","EVT-"&amp;TEXT(ROW()-3,"000"))</f>
        <v/>
      </c>
      <c r="B5" s="14"/>
      <c r="C5" s="14"/>
      <c r="D5" s="14"/>
      <c r="E5" s="14"/>
      <c r="F5" s="15"/>
      <c r="G5" s="15"/>
      <c r="H5" s="14"/>
      <c r="I5" s="15"/>
      <c r="J5" s="14"/>
    </row>
    <row r="6" customFormat="false" ht="15" hidden="false" customHeight="false" outlineLevel="0" collapsed="false">
      <c r="A6" s="13" t="str">
        <f aca="false">IF(C6="","","EVT-"&amp;TEXT(ROW()-3,"000"))</f>
        <v/>
      </c>
      <c r="B6" s="14"/>
      <c r="C6" s="14"/>
      <c r="D6" s="14"/>
      <c r="E6" s="14"/>
      <c r="F6" s="15"/>
      <c r="G6" s="15"/>
      <c r="H6" s="14"/>
      <c r="I6" s="15"/>
      <c r="J6" s="14"/>
    </row>
    <row r="7" customFormat="false" ht="15" hidden="false" customHeight="false" outlineLevel="0" collapsed="false">
      <c r="A7" s="13" t="str">
        <f aca="false">IF(C7="","","EVT-"&amp;TEXT(ROW()-3,"000"))</f>
        <v/>
      </c>
      <c r="B7" s="14"/>
      <c r="C7" s="14"/>
      <c r="D7" s="14"/>
      <c r="E7" s="14"/>
      <c r="F7" s="15"/>
      <c r="G7" s="15"/>
      <c r="H7" s="14"/>
      <c r="I7" s="15"/>
      <c r="J7" s="14"/>
    </row>
    <row r="8" customFormat="false" ht="15" hidden="false" customHeight="false" outlineLevel="0" collapsed="false">
      <c r="A8" s="13" t="str">
        <f aca="false">IF(C8="","","EVT-"&amp;TEXT(ROW()-3,"000"))</f>
        <v/>
      </c>
      <c r="B8" s="14"/>
      <c r="C8" s="14"/>
      <c r="D8" s="14"/>
      <c r="E8" s="14"/>
      <c r="F8" s="15"/>
      <c r="G8" s="15"/>
      <c r="H8" s="14"/>
      <c r="I8" s="15"/>
      <c r="J8" s="14"/>
    </row>
    <row r="9" customFormat="false" ht="15" hidden="false" customHeight="false" outlineLevel="0" collapsed="false">
      <c r="A9" s="13" t="str">
        <f aca="false">IF(C9="","","EVT-"&amp;TEXT(ROW()-3,"000"))</f>
        <v/>
      </c>
      <c r="B9" s="14"/>
      <c r="C9" s="14"/>
      <c r="D9" s="14"/>
      <c r="E9" s="14"/>
      <c r="F9" s="15"/>
      <c r="G9" s="15"/>
      <c r="H9" s="14"/>
      <c r="I9" s="15"/>
      <c r="J9" s="14"/>
    </row>
    <row r="10" customFormat="false" ht="15" hidden="false" customHeight="false" outlineLevel="0" collapsed="false">
      <c r="A10" s="13" t="str">
        <f aca="false">IF(C10="","","EVT-"&amp;TEXT(ROW()-3,"000"))</f>
        <v/>
      </c>
      <c r="B10" s="14"/>
      <c r="C10" s="14"/>
      <c r="D10" s="14"/>
      <c r="E10" s="14"/>
      <c r="F10" s="15"/>
      <c r="G10" s="15"/>
      <c r="H10" s="14"/>
      <c r="I10" s="15"/>
      <c r="J10" s="14"/>
    </row>
    <row r="11" customFormat="false" ht="15" hidden="false" customHeight="false" outlineLevel="0" collapsed="false">
      <c r="A11" s="13" t="str">
        <f aca="false">IF(C11="","","EVT-"&amp;TEXT(ROW()-3,"000"))</f>
        <v/>
      </c>
      <c r="B11" s="14"/>
      <c r="C11" s="14"/>
      <c r="D11" s="14"/>
      <c r="E11" s="14"/>
      <c r="F11" s="15"/>
      <c r="G11" s="15"/>
      <c r="H11" s="14"/>
      <c r="I11" s="15"/>
      <c r="J11" s="14"/>
    </row>
    <row r="12" customFormat="false" ht="15" hidden="false" customHeight="false" outlineLevel="0" collapsed="false">
      <c r="A12" s="13" t="str">
        <f aca="false">IF(C12="","","EVT-"&amp;TEXT(ROW()-3,"000"))</f>
        <v/>
      </c>
      <c r="B12" s="14"/>
      <c r="C12" s="14"/>
      <c r="D12" s="14"/>
      <c r="E12" s="14"/>
      <c r="F12" s="15"/>
      <c r="G12" s="15"/>
      <c r="H12" s="14"/>
      <c r="I12" s="15"/>
      <c r="J12" s="14"/>
    </row>
    <row r="13" customFormat="false" ht="15" hidden="false" customHeight="false" outlineLevel="0" collapsed="false">
      <c r="A13" s="13" t="str">
        <f aca="false">IF(C13="","","EVT-"&amp;TEXT(ROW()-3,"000"))</f>
        <v/>
      </c>
      <c r="B13" s="14"/>
      <c r="C13" s="14"/>
      <c r="D13" s="14"/>
      <c r="E13" s="14"/>
      <c r="F13" s="15"/>
      <c r="G13" s="15"/>
      <c r="H13" s="14"/>
      <c r="I13" s="15"/>
      <c r="J13" s="14"/>
    </row>
    <row r="14" customFormat="false" ht="15" hidden="false" customHeight="false" outlineLevel="0" collapsed="false">
      <c r="A14" s="13" t="str">
        <f aca="false">IF(C14="","","EVT-"&amp;TEXT(ROW()-3,"000"))</f>
        <v/>
      </c>
      <c r="B14" s="14"/>
      <c r="C14" s="14"/>
      <c r="D14" s="14"/>
      <c r="E14" s="14"/>
      <c r="F14" s="15"/>
      <c r="G14" s="15"/>
      <c r="H14" s="14"/>
      <c r="I14" s="15"/>
      <c r="J14" s="14"/>
    </row>
    <row r="15" customFormat="false" ht="15" hidden="false" customHeight="false" outlineLevel="0" collapsed="false">
      <c r="A15" s="13" t="str">
        <f aca="false">IF(C15="","","EVT-"&amp;TEXT(ROW()-3,"000"))</f>
        <v/>
      </c>
      <c r="B15" s="14"/>
      <c r="C15" s="14"/>
      <c r="D15" s="14"/>
      <c r="E15" s="14"/>
      <c r="F15" s="15"/>
      <c r="G15" s="15"/>
      <c r="H15" s="14"/>
      <c r="I15" s="15"/>
      <c r="J15" s="14"/>
    </row>
    <row r="16" customFormat="false" ht="15" hidden="false" customHeight="false" outlineLevel="0" collapsed="false">
      <c r="A16" s="13" t="str">
        <f aca="false">IF(C16="","","EVT-"&amp;TEXT(ROW()-3,"000"))</f>
        <v/>
      </c>
      <c r="B16" s="14"/>
      <c r="C16" s="14"/>
      <c r="D16" s="14"/>
      <c r="E16" s="14"/>
      <c r="F16" s="15"/>
      <c r="G16" s="15"/>
      <c r="H16" s="14"/>
      <c r="I16" s="15"/>
      <c r="J16" s="14"/>
    </row>
    <row r="17" customFormat="false" ht="15" hidden="false" customHeight="false" outlineLevel="0" collapsed="false">
      <c r="A17" s="13" t="str">
        <f aca="false">IF(C17="","","EVT-"&amp;TEXT(ROW()-3,"000"))</f>
        <v/>
      </c>
      <c r="B17" s="14"/>
      <c r="C17" s="14"/>
      <c r="D17" s="14"/>
      <c r="E17" s="14"/>
      <c r="F17" s="15"/>
      <c r="G17" s="15"/>
      <c r="H17" s="14"/>
      <c r="I17" s="15"/>
      <c r="J17" s="14"/>
    </row>
    <row r="18" customFormat="false" ht="15" hidden="false" customHeight="false" outlineLevel="0" collapsed="false">
      <c r="A18" s="13" t="str">
        <f aca="false">IF(C18="","","EVT-"&amp;TEXT(ROW()-3,"000"))</f>
        <v/>
      </c>
      <c r="B18" s="14"/>
      <c r="C18" s="14"/>
      <c r="D18" s="14"/>
      <c r="E18" s="14"/>
      <c r="F18" s="15"/>
      <c r="G18" s="15"/>
      <c r="H18" s="14"/>
      <c r="I18" s="15"/>
      <c r="J18" s="14"/>
    </row>
    <row r="19" customFormat="false" ht="15" hidden="false" customHeight="false" outlineLevel="0" collapsed="false">
      <c r="A19" s="13" t="str">
        <f aca="false">IF(C19="","","EVT-"&amp;TEXT(ROW()-3,"000"))</f>
        <v/>
      </c>
      <c r="B19" s="14"/>
      <c r="C19" s="14"/>
      <c r="D19" s="14"/>
      <c r="E19" s="14"/>
      <c r="F19" s="15"/>
      <c r="G19" s="15"/>
      <c r="H19" s="14"/>
      <c r="I19" s="15"/>
      <c r="J19" s="14"/>
    </row>
    <row r="20" customFormat="false" ht="15" hidden="false" customHeight="false" outlineLevel="0" collapsed="false">
      <c r="A20" s="13" t="str">
        <f aca="false">IF(C20="","","EVT-"&amp;TEXT(ROW()-3,"000"))</f>
        <v/>
      </c>
      <c r="B20" s="14"/>
      <c r="C20" s="14"/>
      <c r="D20" s="14"/>
      <c r="E20" s="14"/>
      <c r="F20" s="15"/>
      <c r="G20" s="15"/>
      <c r="H20" s="14"/>
      <c r="I20" s="15"/>
      <c r="J20" s="14"/>
    </row>
    <row r="21" customFormat="false" ht="15" hidden="false" customHeight="false" outlineLevel="0" collapsed="false">
      <c r="A21" s="13" t="str">
        <f aca="false">IF(C21="","","EVT-"&amp;TEXT(ROW()-3,"000"))</f>
        <v/>
      </c>
      <c r="B21" s="14"/>
      <c r="C21" s="14"/>
      <c r="D21" s="14"/>
      <c r="E21" s="14"/>
      <c r="F21" s="15"/>
      <c r="G21" s="15"/>
      <c r="H21" s="14"/>
      <c r="I21" s="15"/>
      <c r="J21" s="14"/>
    </row>
    <row r="22" customFormat="false" ht="15" hidden="false" customHeight="false" outlineLevel="0" collapsed="false">
      <c r="A22" s="13" t="str">
        <f aca="false">IF(C22="","","EVT-"&amp;TEXT(ROW()-3,"000"))</f>
        <v/>
      </c>
      <c r="B22" s="14"/>
      <c r="C22" s="14"/>
      <c r="D22" s="14"/>
      <c r="E22" s="14"/>
      <c r="F22" s="15"/>
      <c r="G22" s="15"/>
      <c r="H22" s="14"/>
      <c r="I22" s="15"/>
      <c r="J22" s="14"/>
    </row>
    <row r="23" customFormat="false" ht="15" hidden="false" customHeight="false" outlineLevel="0" collapsed="false">
      <c r="A23" s="13" t="str">
        <f aca="false">IF(C23="","","EVT-"&amp;TEXT(ROW()-3,"000"))</f>
        <v/>
      </c>
      <c r="B23" s="14"/>
      <c r="C23" s="14"/>
      <c r="D23" s="14"/>
      <c r="E23" s="14"/>
      <c r="F23" s="15"/>
      <c r="G23" s="15"/>
      <c r="H23" s="14"/>
      <c r="I23" s="15"/>
      <c r="J23" s="14"/>
    </row>
  </sheetData>
  <mergeCells count="2">
    <mergeCell ref="A1:J1"/>
    <mergeCell ref="A2:J2"/>
  </mergeCells>
  <dataValidations count="40"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F4" type="list">
      <formula1>"Prepare,Detect,Verify &amp; Triage,Scope,Contain,Eradicate,Recover,Debrief"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I4" type="list">
      <formula1>"Aberta,Em verificação,Concluída,Superada por nova evidência"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F5" type="list">
      <formula1>"Prepare,Detect,Verify &amp; Triage,Scope,Contain,Eradicate,Recover,Debrief"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I5" type="list">
      <formula1>"Aberta,Em verificação,Concluída,Superada por nova evidência"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F6" type="list">
      <formula1>"Prepare,Detect,Verify &amp; Triage,Scope,Contain,Eradicate,Recover,Debrief"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I6" type="list">
      <formula1>"Aberta,Em verificação,Concluída,Superada por nova evidência"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F7" type="list">
      <formula1>"Prepare,Detect,Verify &amp; Triage,Scope,Contain,Eradicate,Recover,Debrief"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I7" type="list">
      <formula1>"Aberta,Em verificação,Concluída,Superada por nova evidência"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F8" type="list">
      <formula1>"Prepare,Detect,Verify &amp; Triage,Scope,Contain,Eradicate,Recover,Debrief"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I8" type="list">
      <formula1>"Aberta,Em verificação,Concluída,Superada por nova evidência"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F9" type="list">
      <formula1>"Prepare,Detect,Verify &amp; Triage,Scope,Contain,Eradicate,Recover,Debrief"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I9" type="list">
      <formula1>"Aberta,Em verificação,Concluída,Superada por nova evidência"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F10" type="list">
      <formula1>"Prepare,Detect,Verify &amp; Triage,Scope,Contain,Eradicate,Recover,Debrief"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I10" type="list">
      <formula1>"Aberta,Em verificação,Concluída,Superada por nova evidência"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F11" type="list">
      <formula1>"Prepare,Detect,Verify &amp; Triage,Scope,Contain,Eradicate,Recover,Debrief"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I11" type="list">
      <formula1>"Aberta,Em verificação,Concluída,Superada por nova evidência"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F12" type="list">
      <formula1>"Prepare,Detect,Verify &amp; Triage,Scope,Contain,Eradicate,Recover,Debrief"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I12" type="list">
      <formula1>"Aberta,Em verificação,Concluída,Superada por nova evidência"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F13" type="list">
      <formula1>"Prepare,Detect,Verify &amp; Triage,Scope,Contain,Eradicate,Recover,Debrief"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I13" type="list">
      <formula1>"Aberta,Em verificação,Concluída,Superada por nova evidência"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F14" type="list">
      <formula1>"Prepare,Detect,Verify &amp; Triage,Scope,Contain,Eradicate,Recover,Debrief"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I14" type="list">
      <formula1>"Aberta,Em verificação,Concluída,Superada por nova evidência"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F15" type="list">
      <formula1>"Prepare,Detect,Verify &amp; Triage,Scope,Contain,Eradicate,Recover,Debrief"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I15" type="list">
      <formula1>"Aberta,Em verificação,Concluída,Superada por nova evidência"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F16" type="list">
      <formula1>"Prepare,Detect,Verify &amp; Triage,Scope,Contain,Eradicate,Recover,Debrief"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I16" type="list">
      <formula1>"Aberta,Em verificação,Concluída,Superada por nova evidência"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F17" type="list">
      <formula1>"Prepare,Detect,Verify &amp; Triage,Scope,Contain,Eradicate,Recover,Debrief"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I17" type="list">
      <formula1>"Aberta,Em verificação,Concluída,Superada por nova evidência"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F18" type="list">
      <formula1>"Prepare,Detect,Verify &amp; Triage,Scope,Contain,Eradicate,Recover,Debrief"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I18" type="list">
      <formula1>"Aberta,Em verificação,Concluída,Superada por nova evidência"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F19" type="list">
      <formula1>"Prepare,Detect,Verify &amp; Triage,Scope,Contain,Eradicate,Recover,Debrief"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I19" type="list">
      <formula1>"Aberta,Em verificação,Concluída,Superada por nova evidência"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F20" type="list">
      <formula1>"Prepare,Detect,Verify &amp; Triage,Scope,Contain,Eradicate,Recover,Debrief"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I20" type="list">
      <formula1>"Aberta,Em verificação,Concluída,Superada por nova evidência"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F21" type="list">
      <formula1>"Prepare,Detect,Verify &amp; Triage,Scope,Contain,Eradicate,Recover,Debrief"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I21" type="list">
      <formula1>"Aberta,Em verificação,Concluída,Superada por nova evidência"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F22" type="list">
      <formula1>"Prepare,Detect,Verify &amp; Triage,Scope,Contain,Eradicate,Recover,Debrief"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I22" type="list">
      <formula1>"Aberta,Em verificação,Concluída,Superada por nova evidência"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F23" type="list">
      <formula1>"Prepare,Detect,Verify &amp; Triage,Scope,Contain,Eradicate,Recover,Debrief"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I23" type="list">
      <formula1>"Aberta,Em verificação,Concluída,Superada por nova evidência"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0"/>
    <col collapsed="false" customWidth="true" hidden="false" outlineLevel="0" max="7" min="3" style="1" width="28"/>
    <col collapsed="false" customWidth="true" hidden="false" outlineLevel="0" max="8" min="8" style="1" width="20"/>
    <col collapsed="false" customWidth="true" hidden="false" outlineLevel="0" max="10" min="9" style="1" width="16"/>
    <col collapsed="false" customWidth="true" hidden="false" outlineLevel="0" max="11" min="11" style="1" width="26"/>
  </cols>
  <sheetData>
    <row r="1" customFormat="false" ht="33.75" hidden="false" customHeight="true" outlineLevel="0" collapsed="false">
      <c r="A1" s="2" t="s">
        <v>48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5" hidden="false" customHeight="false" outlineLevel="0" collapsed="false">
      <c r="A2" s="3" t="s">
        <v>49</v>
      </c>
      <c r="B2" s="3"/>
      <c r="C2" s="3"/>
      <c r="D2" s="3"/>
      <c r="E2" s="3"/>
      <c r="F2" s="3"/>
      <c r="G2" s="3"/>
      <c r="H2" s="3"/>
      <c r="I2" s="3"/>
      <c r="J2" s="3"/>
      <c r="K2" s="3"/>
    </row>
    <row r="3" customFormat="false" ht="31.5" hidden="false" customHeight="true" outlineLevel="0" collapsed="false">
      <c r="A3" s="12" t="s">
        <v>50</v>
      </c>
      <c r="B3" s="12" t="s">
        <v>51</v>
      </c>
      <c r="C3" s="12" t="s">
        <v>52</v>
      </c>
      <c r="D3" s="12" t="s">
        <v>53</v>
      </c>
      <c r="E3" s="12" t="s">
        <v>54</v>
      </c>
      <c r="F3" s="12" t="s">
        <v>55</v>
      </c>
      <c r="G3" s="12" t="s">
        <v>56</v>
      </c>
      <c r="H3" s="12" t="s">
        <v>57</v>
      </c>
      <c r="I3" s="12" t="s">
        <v>58</v>
      </c>
      <c r="J3" s="12" t="s">
        <v>39</v>
      </c>
      <c r="K3" s="12" t="s">
        <v>59</v>
      </c>
    </row>
    <row r="4" customFormat="false" ht="15" hidden="false" customHeight="false" outlineLevel="0" collapsed="false">
      <c r="A4" s="13" t="str">
        <f aca="false">IF(F4="","","DEC-"&amp;TEXT(ROW()-3,"000"))</f>
        <v/>
      </c>
      <c r="B4" s="14"/>
      <c r="C4" s="14"/>
      <c r="D4" s="14"/>
      <c r="E4" s="14"/>
      <c r="F4" s="14"/>
      <c r="G4" s="14"/>
      <c r="H4" s="14"/>
      <c r="I4" s="14"/>
      <c r="J4" s="14"/>
      <c r="K4" s="14"/>
    </row>
    <row r="5" customFormat="false" ht="15" hidden="false" customHeight="false" outlineLevel="0" collapsed="false">
      <c r="A5" s="13" t="str">
        <f aca="false">IF(F5="","","DEC-"&amp;TEXT(ROW()-3,"000"))</f>
        <v/>
      </c>
      <c r="B5" s="14"/>
      <c r="C5" s="14"/>
      <c r="D5" s="14"/>
      <c r="E5" s="14"/>
      <c r="F5" s="14"/>
      <c r="G5" s="14"/>
      <c r="H5" s="14"/>
      <c r="I5" s="14"/>
      <c r="J5" s="14"/>
      <c r="K5" s="14"/>
    </row>
    <row r="6" customFormat="false" ht="15" hidden="false" customHeight="false" outlineLevel="0" collapsed="false">
      <c r="A6" s="13" t="str">
        <f aca="false">IF(F6="","","DEC-"&amp;TEXT(ROW()-3,"000"))</f>
        <v/>
      </c>
      <c r="B6" s="14"/>
      <c r="C6" s="14"/>
      <c r="D6" s="14"/>
      <c r="E6" s="14"/>
      <c r="F6" s="14"/>
      <c r="G6" s="14"/>
      <c r="H6" s="14"/>
      <c r="I6" s="14"/>
      <c r="J6" s="14"/>
      <c r="K6" s="14"/>
    </row>
    <row r="7" customFormat="false" ht="15" hidden="false" customHeight="false" outlineLevel="0" collapsed="false">
      <c r="A7" s="13" t="str">
        <f aca="false">IF(F7="","","DEC-"&amp;TEXT(ROW()-3,"000"))</f>
        <v/>
      </c>
      <c r="B7" s="14"/>
      <c r="C7" s="14"/>
      <c r="D7" s="14"/>
      <c r="E7" s="14"/>
      <c r="F7" s="14"/>
      <c r="G7" s="14"/>
      <c r="H7" s="14"/>
      <c r="I7" s="14"/>
      <c r="J7" s="14"/>
      <c r="K7" s="14"/>
    </row>
    <row r="8" customFormat="false" ht="15" hidden="false" customHeight="false" outlineLevel="0" collapsed="false">
      <c r="A8" s="13" t="str">
        <f aca="false">IF(F8="","","DEC-"&amp;TEXT(ROW()-3,"000"))</f>
        <v/>
      </c>
      <c r="B8" s="14"/>
      <c r="C8" s="14"/>
      <c r="D8" s="14"/>
      <c r="E8" s="14"/>
      <c r="F8" s="14"/>
      <c r="G8" s="14"/>
      <c r="H8" s="14"/>
      <c r="I8" s="14"/>
      <c r="J8" s="14"/>
      <c r="K8" s="14"/>
    </row>
    <row r="9" customFormat="false" ht="15" hidden="false" customHeight="false" outlineLevel="0" collapsed="false">
      <c r="A9" s="13" t="str">
        <f aca="false">IF(F9="","","DEC-"&amp;TEXT(ROW()-3,"000"))</f>
        <v/>
      </c>
      <c r="B9" s="14"/>
      <c r="C9" s="14"/>
      <c r="D9" s="14"/>
      <c r="E9" s="14"/>
      <c r="F9" s="14"/>
      <c r="G9" s="14"/>
      <c r="H9" s="14"/>
      <c r="I9" s="14"/>
      <c r="J9" s="14"/>
      <c r="K9" s="14"/>
    </row>
    <row r="10" customFormat="false" ht="15" hidden="false" customHeight="false" outlineLevel="0" collapsed="false">
      <c r="A10" s="13" t="str">
        <f aca="false">IF(F10="","","DEC-"&amp;TEXT(ROW()-3,"000"))</f>
        <v/>
      </c>
      <c r="B10" s="14"/>
      <c r="C10" s="14"/>
      <c r="D10" s="14"/>
      <c r="E10" s="14"/>
      <c r="F10" s="14"/>
      <c r="G10" s="14"/>
      <c r="H10" s="14"/>
      <c r="I10" s="14"/>
      <c r="J10" s="14"/>
      <c r="K10" s="14"/>
    </row>
    <row r="11" customFormat="false" ht="15" hidden="false" customHeight="false" outlineLevel="0" collapsed="false">
      <c r="A11" s="13" t="str">
        <f aca="false">IF(F11="","","DEC-"&amp;TEXT(ROW()-3,"000"))</f>
        <v/>
      </c>
      <c r="B11" s="14"/>
      <c r="C11" s="14"/>
      <c r="D11" s="14"/>
      <c r="E11" s="14"/>
      <c r="F11" s="14"/>
      <c r="G11" s="14"/>
      <c r="H11" s="14"/>
      <c r="I11" s="14"/>
      <c r="J11" s="14"/>
      <c r="K11" s="14"/>
    </row>
    <row r="12" customFormat="false" ht="15" hidden="false" customHeight="false" outlineLevel="0" collapsed="false">
      <c r="A12" s="13" t="str">
        <f aca="false">IF(F12="","","DEC-"&amp;TEXT(ROW()-3,"000"))</f>
        <v/>
      </c>
      <c r="B12" s="14"/>
      <c r="C12" s="14"/>
      <c r="D12" s="14"/>
      <c r="E12" s="14"/>
      <c r="F12" s="14"/>
      <c r="G12" s="14"/>
      <c r="H12" s="14"/>
      <c r="I12" s="14"/>
      <c r="J12" s="14"/>
      <c r="K12" s="14"/>
    </row>
    <row r="13" customFormat="false" ht="15" hidden="false" customHeight="false" outlineLevel="0" collapsed="false">
      <c r="A13" s="13" t="str">
        <f aca="false">IF(F13="","","DEC-"&amp;TEXT(ROW()-3,"000"))</f>
        <v/>
      </c>
      <c r="B13" s="14"/>
      <c r="C13" s="14"/>
      <c r="D13" s="14"/>
      <c r="E13" s="14"/>
      <c r="F13" s="14"/>
      <c r="G13" s="14"/>
      <c r="H13" s="14"/>
      <c r="I13" s="14"/>
      <c r="J13" s="14"/>
      <c r="K13" s="14"/>
    </row>
    <row r="14" customFormat="false" ht="15" hidden="false" customHeight="false" outlineLevel="0" collapsed="false">
      <c r="A14" s="13" t="str">
        <f aca="false">IF(F14="","","DEC-"&amp;TEXT(ROW()-3,"000"))</f>
        <v/>
      </c>
      <c r="B14" s="14"/>
      <c r="C14" s="14"/>
      <c r="D14" s="14"/>
      <c r="E14" s="14"/>
      <c r="F14" s="14"/>
      <c r="G14" s="14"/>
      <c r="H14" s="14"/>
      <c r="I14" s="14"/>
      <c r="J14" s="14"/>
      <c r="K14" s="14"/>
    </row>
    <row r="15" customFormat="false" ht="15" hidden="false" customHeight="false" outlineLevel="0" collapsed="false">
      <c r="A15" s="13" t="str">
        <f aca="false">IF(F15="","","DEC-"&amp;TEXT(ROW()-3,"000"))</f>
        <v/>
      </c>
      <c r="B15" s="14"/>
      <c r="C15" s="14"/>
      <c r="D15" s="14"/>
      <c r="E15" s="14"/>
      <c r="F15" s="14"/>
      <c r="G15" s="14"/>
      <c r="H15" s="14"/>
      <c r="I15" s="14"/>
      <c r="J15" s="14"/>
      <c r="K15" s="14"/>
    </row>
    <row r="16" customFormat="false" ht="15" hidden="false" customHeight="false" outlineLevel="0" collapsed="false">
      <c r="A16" s="13" t="str">
        <f aca="false">IF(F16="","","DEC-"&amp;TEXT(ROW()-3,"000"))</f>
        <v/>
      </c>
      <c r="B16" s="14"/>
      <c r="C16" s="14"/>
      <c r="D16" s="14"/>
      <c r="E16" s="14"/>
      <c r="F16" s="14"/>
      <c r="G16" s="14"/>
      <c r="H16" s="14"/>
      <c r="I16" s="14"/>
      <c r="J16" s="14"/>
      <c r="K16" s="14"/>
    </row>
    <row r="17" customFormat="false" ht="15" hidden="false" customHeight="false" outlineLevel="0" collapsed="false">
      <c r="A17" s="13" t="str">
        <f aca="false">IF(F17="","","DEC-"&amp;TEXT(ROW()-3,"000"))</f>
        <v/>
      </c>
      <c r="B17" s="14"/>
      <c r="C17" s="14"/>
      <c r="D17" s="14"/>
      <c r="E17" s="14"/>
      <c r="F17" s="14"/>
      <c r="G17" s="14"/>
      <c r="H17" s="14"/>
      <c r="I17" s="14"/>
      <c r="J17" s="14"/>
      <c r="K17" s="14"/>
    </row>
    <row r="18" customFormat="false" ht="15" hidden="false" customHeight="false" outlineLevel="0" collapsed="false">
      <c r="A18" s="13" t="str">
        <f aca="false">IF(F18="","","DEC-"&amp;TEXT(ROW()-3,"000"))</f>
        <v/>
      </c>
      <c r="B18" s="14"/>
      <c r="C18" s="14"/>
      <c r="D18" s="14"/>
      <c r="E18" s="14"/>
      <c r="F18" s="14"/>
      <c r="G18" s="14"/>
      <c r="H18" s="14"/>
      <c r="I18" s="14"/>
      <c r="J18" s="14"/>
      <c r="K18" s="14"/>
    </row>
    <row r="19" customFormat="false" ht="15" hidden="false" customHeight="false" outlineLevel="0" collapsed="false">
      <c r="A19" s="13" t="str">
        <f aca="false">IF(F19="","","DEC-"&amp;TEXT(ROW()-3,"000"))</f>
        <v/>
      </c>
      <c r="B19" s="14"/>
      <c r="C19" s="14"/>
      <c r="D19" s="14"/>
      <c r="E19" s="14"/>
      <c r="F19" s="14"/>
      <c r="G19" s="14"/>
      <c r="H19" s="14"/>
      <c r="I19" s="14"/>
      <c r="J19" s="14"/>
      <c r="K19" s="14"/>
    </row>
    <row r="20" customFormat="false" ht="15" hidden="false" customHeight="false" outlineLevel="0" collapsed="false">
      <c r="A20" s="13" t="str">
        <f aca="false">IF(F20="","","DEC-"&amp;TEXT(ROW()-3,"000"))</f>
        <v/>
      </c>
      <c r="B20" s="14"/>
      <c r="C20" s="14"/>
      <c r="D20" s="14"/>
      <c r="E20" s="14"/>
      <c r="F20" s="14"/>
      <c r="G20" s="14"/>
      <c r="H20" s="14"/>
      <c r="I20" s="14"/>
      <c r="J20" s="14"/>
      <c r="K20" s="14"/>
    </row>
    <row r="21" customFormat="false" ht="15" hidden="false" customHeight="false" outlineLevel="0" collapsed="false">
      <c r="A21" s="13" t="str">
        <f aca="false">IF(F21="","","DEC-"&amp;TEXT(ROW()-3,"000"))</f>
        <v/>
      </c>
      <c r="B21" s="14"/>
      <c r="C21" s="14"/>
      <c r="D21" s="14"/>
      <c r="E21" s="14"/>
      <c r="F21" s="14"/>
      <c r="G21" s="14"/>
      <c r="H21" s="14"/>
      <c r="I21" s="14"/>
      <c r="J21" s="14"/>
      <c r="K21" s="14"/>
    </row>
    <row r="22" customFormat="false" ht="15" hidden="false" customHeight="false" outlineLevel="0" collapsed="false">
      <c r="A22" s="13" t="str">
        <f aca="false">IF(F22="","","DEC-"&amp;TEXT(ROW()-3,"000"))</f>
        <v/>
      </c>
      <c r="B22" s="14"/>
      <c r="C22" s="14"/>
      <c r="D22" s="14"/>
      <c r="E22" s="14"/>
      <c r="F22" s="14"/>
      <c r="G22" s="14"/>
      <c r="H22" s="14"/>
      <c r="I22" s="14"/>
      <c r="J22" s="14"/>
      <c r="K22" s="14"/>
    </row>
    <row r="23" customFormat="false" ht="15" hidden="false" customHeight="false" outlineLevel="0" collapsed="false">
      <c r="A23" s="13" t="str">
        <f aca="false">IF(F23="","","DEC-"&amp;TEXT(ROW()-3,"000"))</f>
        <v/>
      </c>
      <c r="B23" s="14"/>
      <c r="C23" s="14"/>
      <c r="D23" s="14"/>
      <c r="E23" s="14"/>
      <c r="F23" s="14"/>
      <c r="G23" s="14"/>
      <c r="H23" s="14"/>
      <c r="I23" s="14"/>
      <c r="J23" s="14"/>
      <c r="K23" s="14"/>
    </row>
  </sheetData>
  <mergeCells count="2">
    <mergeCell ref="A1:K1"/>
    <mergeCell ref="A2:K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30"/>
    <col collapsed="false" customWidth="true" hidden="false" outlineLevel="0" max="3" min="3" style="1" width="18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24"/>
    <col collapsed="false" customWidth="true" hidden="false" outlineLevel="0" max="7" min="7" style="1" width="16"/>
    <col collapsed="false" customWidth="true" hidden="false" outlineLevel="0" max="8" min="8" style="1" width="24"/>
    <col collapsed="false" customWidth="true" hidden="false" outlineLevel="0" max="9" min="9" style="1" width="28"/>
    <col collapsed="false" customWidth="true" hidden="false" outlineLevel="0" max="10" min="10" style="1" width="22"/>
  </cols>
  <sheetData>
    <row r="1" customFormat="false" ht="33.75" hidden="false" customHeight="true" outlineLevel="0" collapsed="false">
      <c r="A1" s="2" t="s">
        <v>60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61</v>
      </c>
      <c r="B2" s="3"/>
      <c r="C2" s="3"/>
      <c r="D2" s="3"/>
      <c r="E2" s="3"/>
      <c r="F2" s="3"/>
      <c r="G2" s="3"/>
      <c r="H2" s="3"/>
      <c r="I2" s="3"/>
      <c r="J2" s="3"/>
    </row>
    <row r="3" customFormat="false" ht="31.5" hidden="false" customHeight="true" outlineLevel="0" collapsed="false">
      <c r="A3" s="12" t="s">
        <v>62</v>
      </c>
      <c r="B3" s="12" t="s">
        <v>63</v>
      </c>
      <c r="C3" s="12" t="s">
        <v>64</v>
      </c>
      <c r="D3" s="12" t="s">
        <v>65</v>
      </c>
      <c r="E3" s="12" t="s">
        <v>45</v>
      </c>
      <c r="F3" s="12" t="s">
        <v>66</v>
      </c>
      <c r="G3" s="12" t="s">
        <v>67</v>
      </c>
      <c r="H3" s="12" t="s">
        <v>68</v>
      </c>
      <c r="I3" s="12" t="s">
        <v>69</v>
      </c>
      <c r="J3" s="12" t="s">
        <v>70</v>
      </c>
    </row>
    <row r="4" customFormat="false" ht="15" hidden="false" customHeight="false" outlineLevel="0" collapsed="false">
      <c r="A4" s="13" t="str">
        <f aca="false">IF(B4="","","EVD-"&amp;TEXT(ROW()-3,"000"))</f>
        <v/>
      </c>
      <c r="B4" s="14"/>
      <c r="C4" s="14"/>
      <c r="D4" s="14"/>
      <c r="E4" s="14"/>
      <c r="F4" s="14"/>
      <c r="G4" s="15"/>
      <c r="H4" s="14"/>
      <c r="I4" s="14"/>
      <c r="J4" s="14"/>
    </row>
    <row r="5" customFormat="false" ht="15" hidden="false" customHeight="false" outlineLevel="0" collapsed="false">
      <c r="A5" s="13" t="str">
        <f aca="false">IF(B5="","","EVD-"&amp;TEXT(ROW()-3,"000"))</f>
        <v/>
      </c>
      <c r="B5" s="14"/>
      <c r="C5" s="14"/>
      <c r="D5" s="14"/>
      <c r="E5" s="14"/>
      <c r="F5" s="14"/>
      <c r="G5" s="15"/>
      <c r="H5" s="14"/>
      <c r="I5" s="14"/>
      <c r="J5" s="14"/>
    </row>
    <row r="6" customFormat="false" ht="15" hidden="false" customHeight="false" outlineLevel="0" collapsed="false">
      <c r="A6" s="13" t="str">
        <f aca="false">IF(B6="","","EVD-"&amp;TEXT(ROW()-3,"000"))</f>
        <v/>
      </c>
      <c r="B6" s="14"/>
      <c r="C6" s="14"/>
      <c r="D6" s="14"/>
      <c r="E6" s="14"/>
      <c r="F6" s="14"/>
      <c r="G6" s="15"/>
      <c r="H6" s="14"/>
      <c r="I6" s="14"/>
      <c r="J6" s="14"/>
    </row>
    <row r="7" customFormat="false" ht="15" hidden="false" customHeight="false" outlineLevel="0" collapsed="false">
      <c r="A7" s="13" t="str">
        <f aca="false">IF(B7="","","EVD-"&amp;TEXT(ROW()-3,"000"))</f>
        <v/>
      </c>
      <c r="B7" s="14"/>
      <c r="C7" s="14"/>
      <c r="D7" s="14"/>
      <c r="E7" s="14"/>
      <c r="F7" s="14"/>
      <c r="G7" s="15"/>
      <c r="H7" s="14"/>
      <c r="I7" s="14"/>
      <c r="J7" s="14"/>
    </row>
    <row r="8" customFormat="false" ht="15" hidden="false" customHeight="false" outlineLevel="0" collapsed="false">
      <c r="A8" s="13" t="str">
        <f aca="false">IF(B8="","","EVD-"&amp;TEXT(ROW()-3,"000"))</f>
        <v/>
      </c>
      <c r="B8" s="14"/>
      <c r="C8" s="14"/>
      <c r="D8" s="14"/>
      <c r="E8" s="14"/>
      <c r="F8" s="14"/>
      <c r="G8" s="15"/>
      <c r="H8" s="14"/>
      <c r="I8" s="14"/>
      <c r="J8" s="14"/>
    </row>
    <row r="9" customFormat="false" ht="15" hidden="false" customHeight="false" outlineLevel="0" collapsed="false">
      <c r="A9" s="13" t="str">
        <f aca="false">IF(B9="","","EVD-"&amp;TEXT(ROW()-3,"000"))</f>
        <v/>
      </c>
      <c r="B9" s="14"/>
      <c r="C9" s="14"/>
      <c r="D9" s="14"/>
      <c r="E9" s="14"/>
      <c r="F9" s="14"/>
      <c r="G9" s="15"/>
      <c r="H9" s="14"/>
      <c r="I9" s="14"/>
      <c r="J9" s="14"/>
    </row>
    <row r="10" customFormat="false" ht="15" hidden="false" customHeight="false" outlineLevel="0" collapsed="false">
      <c r="A10" s="13" t="str">
        <f aca="false">IF(B10="","","EVD-"&amp;TEXT(ROW()-3,"000"))</f>
        <v/>
      </c>
      <c r="B10" s="14"/>
      <c r="C10" s="14"/>
      <c r="D10" s="14"/>
      <c r="E10" s="14"/>
      <c r="F10" s="14"/>
      <c r="G10" s="15"/>
      <c r="H10" s="14"/>
      <c r="I10" s="14"/>
      <c r="J10" s="14"/>
    </row>
    <row r="11" customFormat="false" ht="15" hidden="false" customHeight="false" outlineLevel="0" collapsed="false">
      <c r="A11" s="13" t="str">
        <f aca="false">IF(B11="","","EVD-"&amp;TEXT(ROW()-3,"000"))</f>
        <v/>
      </c>
      <c r="B11" s="14"/>
      <c r="C11" s="14"/>
      <c r="D11" s="14"/>
      <c r="E11" s="14"/>
      <c r="F11" s="14"/>
      <c r="G11" s="15"/>
      <c r="H11" s="14"/>
      <c r="I11" s="14"/>
      <c r="J11" s="14"/>
    </row>
    <row r="12" customFormat="false" ht="15" hidden="false" customHeight="false" outlineLevel="0" collapsed="false">
      <c r="A12" s="13" t="str">
        <f aca="false">IF(B12="","","EVD-"&amp;TEXT(ROW()-3,"000"))</f>
        <v/>
      </c>
      <c r="B12" s="14"/>
      <c r="C12" s="14"/>
      <c r="D12" s="14"/>
      <c r="E12" s="14"/>
      <c r="F12" s="14"/>
      <c r="G12" s="15"/>
      <c r="H12" s="14"/>
      <c r="I12" s="14"/>
      <c r="J12" s="14"/>
    </row>
    <row r="13" customFormat="false" ht="15" hidden="false" customHeight="false" outlineLevel="0" collapsed="false">
      <c r="A13" s="13" t="str">
        <f aca="false">IF(B13="","","EVD-"&amp;TEXT(ROW()-3,"000"))</f>
        <v/>
      </c>
      <c r="B13" s="14"/>
      <c r="C13" s="14"/>
      <c r="D13" s="14"/>
      <c r="E13" s="14"/>
      <c r="F13" s="14"/>
      <c r="G13" s="15"/>
      <c r="H13" s="14"/>
      <c r="I13" s="14"/>
      <c r="J13" s="14"/>
    </row>
    <row r="14" customFormat="false" ht="15" hidden="false" customHeight="false" outlineLevel="0" collapsed="false">
      <c r="A14" s="13" t="str">
        <f aca="false">IF(B14="","","EVD-"&amp;TEXT(ROW()-3,"000"))</f>
        <v/>
      </c>
      <c r="B14" s="14"/>
      <c r="C14" s="14"/>
      <c r="D14" s="14"/>
      <c r="E14" s="14"/>
      <c r="F14" s="14"/>
      <c r="G14" s="15"/>
      <c r="H14" s="14"/>
      <c r="I14" s="14"/>
      <c r="J14" s="14"/>
    </row>
    <row r="15" customFormat="false" ht="15" hidden="false" customHeight="false" outlineLevel="0" collapsed="false">
      <c r="A15" s="13" t="str">
        <f aca="false">IF(B15="","","EVD-"&amp;TEXT(ROW()-3,"000"))</f>
        <v/>
      </c>
      <c r="B15" s="14"/>
      <c r="C15" s="14"/>
      <c r="D15" s="14"/>
      <c r="E15" s="14"/>
      <c r="F15" s="14"/>
      <c r="G15" s="15"/>
      <c r="H15" s="14"/>
      <c r="I15" s="14"/>
      <c r="J15" s="14"/>
    </row>
    <row r="16" customFormat="false" ht="15" hidden="false" customHeight="false" outlineLevel="0" collapsed="false">
      <c r="A16" s="13" t="str">
        <f aca="false">IF(B16="","","EVD-"&amp;TEXT(ROW()-3,"000"))</f>
        <v/>
      </c>
      <c r="B16" s="14"/>
      <c r="C16" s="14"/>
      <c r="D16" s="14"/>
      <c r="E16" s="14"/>
      <c r="F16" s="14"/>
      <c r="G16" s="15"/>
      <c r="H16" s="14"/>
      <c r="I16" s="14"/>
      <c r="J16" s="14"/>
    </row>
    <row r="17" customFormat="false" ht="15" hidden="false" customHeight="false" outlineLevel="0" collapsed="false">
      <c r="A17" s="13" t="str">
        <f aca="false">IF(B17="","","EVD-"&amp;TEXT(ROW()-3,"000"))</f>
        <v/>
      </c>
      <c r="B17" s="14"/>
      <c r="C17" s="14"/>
      <c r="D17" s="14"/>
      <c r="E17" s="14"/>
      <c r="F17" s="14"/>
      <c r="G17" s="15"/>
      <c r="H17" s="14"/>
      <c r="I17" s="14"/>
      <c r="J17" s="14"/>
    </row>
    <row r="18" customFormat="false" ht="15" hidden="false" customHeight="false" outlineLevel="0" collapsed="false">
      <c r="A18" s="13" t="str">
        <f aca="false">IF(B18="","","EVD-"&amp;TEXT(ROW()-3,"000"))</f>
        <v/>
      </c>
      <c r="B18" s="14"/>
      <c r="C18" s="14"/>
      <c r="D18" s="14"/>
      <c r="E18" s="14"/>
      <c r="F18" s="14"/>
      <c r="G18" s="15"/>
      <c r="H18" s="14"/>
      <c r="I18" s="14"/>
      <c r="J18" s="14"/>
    </row>
    <row r="19" customFormat="false" ht="15" hidden="false" customHeight="false" outlineLevel="0" collapsed="false">
      <c r="A19" s="13" t="str">
        <f aca="false">IF(B19="","","EVD-"&amp;TEXT(ROW()-3,"000"))</f>
        <v/>
      </c>
      <c r="B19" s="14"/>
      <c r="C19" s="14"/>
      <c r="D19" s="14"/>
      <c r="E19" s="14"/>
      <c r="F19" s="14"/>
      <c r="G19" s="15"/>
      <c r="H19" s="14"/>
      <c r="I19" s="14"/>
      <c r="J19" s="14"/>
    </row>
    <row r="20" customFormat="false" ht="15" hidden="false" customHeight="false" outlineLevel="0" collapsed="false">
      <c r="A20" s="13" t="str">
        <f aca="false">IF(B20="","","EVD-"&amp;TEXT(ROW()-3,"000"))</f>
        <v/>
      </c>
      <c r="B20" s="14"/>
      <c r="C20" s="14"/>
      <c r="D20" s="14"/>
      <c r="E20" s="14"/>
      <c r="F20" s="14"/>
      <c r="G20" s="15"/>
      <c r="H20" s="14"/>
      <c r="I20" s="14"/>
      <c r="J20" s="14"/>
    </row>
    <row r="21" customFormat="false" ht="15" hidden="false" customHeight="false" outlineLevel="0" collapsed="false">
      <c r="A21" s="13" t="str">
        <f aca="false">IF(B21="","","EVD-"&amp;TEXT(ROW()-3,"000"))</f>
        <v/>
      </c>
      <c r="B21" s="14"/>
      <c r="C21" s="14"/>
      <c r="D21" s="14"/>
      <c r="E21" s="14"/>
      <c r="F21" s="14"/>
      <c r="G21" s="15"/>
      <c r="H21" s="14"/>
      <c r="I21" s="14"/>
      <c r="J21" s="14"/>
    </row>
    <row r="22" customFormat="false" ht="15" hidden="false" customHeight="false" outlineLevel="0" collapsed="false">
      <c r="A22" s="13" t="str">
        <f aca="false">IF(B22="","","EVD-"&amp;TEXT(ROW()-3,"000"))</f>
        <v/>
      </c>
      <c r="B22" s="14"/>
      <c r="C22" s="14"/>
      <c r="D22" s="14"/>
      <c r="E22" s="14"/>
      <c r="F22" s="14"/>
      <c r="G22" s="15"/>
      <c r="H22" s="14"/>
      <c r="I22" s="14"/>
      <c r="J22" s="14"/>
    </row>
    <row r="23" customFormat="false" ht="15" hidden="false" customHeight="false" outlineLevel="0" collapsed="false">
      <c r="A23" s="13" t="str">
        <f aca="false">IF(B23="","","EVD-"&amp;TEXT(ROW()-3,"000"))</f>
        <v/>
      </c>
      <c r="B23" s="14"/>
      <c r="C23" s="14"/>
      <c r="D23" s="14"/>
      <c r="E23" s="14"/>
      <c r="F23" s="14"/>
      <c r="G23" s="15"/>
      <c r="H23" s="14"/>
      <c r="I23" s="14"/>
      <c r="J23" s="14"/>
    </row>
  </sheetData>
  <mergeCells count="2">
    <mergeCell ref="A1:J1"/>
    <mergeCell ref="A2:J2"/>
  </mergeCells>
  <dataValidations count="20"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G4" type="list">
      <formula1>"Sim,Não,Parcial,Não informado"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G5" type="list">
      <formula1>"Sim,Não,Parcial,Não informado"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G6" type="list">
      <formula1>"Sim,Não,Parcial,Não informado"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G7" type="list">
      <formula1>"Sim,Não,Parcial,Não informado"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G8" type="list">
      <formula1>"Sim,Não,Parcial,Não informado"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G9" type="list">
      <formula1>"Sim,Não,Parcial,Não informado"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G10" type="list">
      <formula1>"Sim,Não,Parcial,Não informado"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G11" type="list">
      <formula1>"Sim,Não,Parcial,Não informado"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G12" type="list">
      <formula1>"Sim,Não,Parcial,Não informado"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G13" type="list">
      <formula1>"Sim,Não,Parcial,Não informado"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G14" type="list">
      <formula1>"Sim,Não,Parcial,Não informado"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G15" type="list">
      <formula1>"Sim,Não,Parcial,Não informado"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G16" type="list">
      <formula1>"Sim,Não,Parcial,Não informado"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G17" type="list">
      <formula1>"Sim,Não,Parcial,Não informado"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G18" type="list">
      <formula1>"Sim,Não,Parcial,Não informado"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G19" type="list">
      <formula1>"Sim,Não,Parcial,Não informado"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G20" type="list">
      <formula1>"Sim,Não,Parcial,Não informado"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G21" type="list">
      <formula1>"Sim,Não,Parcial,Não informado"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G22" type="list">
      <formula1>"Sim,Não,Parcial,Não informado"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G23" type="list">
      <formula1>"Sim,Não,Parcial,Não informado"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18"/>
    <col collapsed="false" customWidth="true" hidden="false" outlineLevel="0" max="5" min="5" style="1" width="10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14"/>
    <col collapsed="false" customWidth="true" hidden="false" outlineLevel="0" max="9" min="9" style="1" width="16"/>
    <col collapsed="false" customWidth="true" hidden="false" outlineLevel="0" max="10" min="10" style="1" width="20"/>
    <col collapsed="false" customWidth="true" hidden="false" outlineLevel="0" max="11" min="11" style="1" width="24"/>
  </cols>
  <sheetData>
    <row r="1" customFormat="false" ht="33.75" hidden="false" customHeight="true" outlineLevel="0" collapsed="false">
      <c r="A1" s="2" t="s">
        <v>71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5" hidden="false" customHeight="false" outlineLevel="0" collapsed="false">
      <c r="A2" s="3" t="s">
        <v>72</v>
      </c>
      <c r="B2" s="3"/>
      <c r="C2" s="3"/>
      <c r="D2" s="3"/>
      <c r="E2" s="3"/>
      <c r="F2" s="3"/>
      <c r="G2" s="3"/>
      <c r="H2" s="3"/>
      <c r="I2" s="3"/>
      <c r="J2" s="3"/>
      <c r="K2" s="3"/>
    </row>
    <row r="3" customFormat="false" ht="31.5" hidden="false" customHeight="true" outlineLevel="0" collapsed="false">
      <c r="A3" s="12" t="s">
        <v>73</v>
      </c>
      <c r="B3" s="12" t="s">
        <v>74</v>
      </c>
      <c r="C3" s="12" t="s">
        <v>75</v>
      </c>
      <c r="D3" s="12" t="s">
        <v>76</v>
      </c>
      <c r="E3" s="12" t="s">
        <v>44</v>
      </c>
      <c r="F3" s="12" t="s">
        <v>77</v>
      </c>
      <c r="G3" s="12" t="s">
        <v>45</v>
      </c>
      <c r="H3" s="12" t="s">
        <v>78</v>
      </c>
      <c r="I3" s="12" t="s">
        <v>79</v>
      </c>
      <c r="J3" s="12" t="s">
        <v>80</v>
      </c>
      <c r="K3" s="12" t="s">
        <v>81</v>
      </c>
    </row>
    <row r="4" customFormat="false" ht="15" hidden="false" customHeight="false" outlineLevel="0" collapsed="false">
      <c r="A4" s="13" t="str">
        <f aca="false">IF(B4="","","ACA-"&amp;TEXT(ROW()-3,"000"))</f>
        <v/>
      </c>
      <c r="B4" s="14"/>
      <c r="C4" s="15"/>
      <c r="D4" s="15"/>
      <c r="E4" s="15"/>
      <c r="F4" s="15"/>
      <c r="G4" s="14"/>
      <c r="H4" s="14"/>
      <c r="I4" s="15"/>
      <c r="J4" s="15"/>
      <c r="K4" s="14"/>
    </row>
    <row r="5" customFormat="false" ht="15" hidden="false" customHeight="false" outlineLevel="0" collapsed="false">
      <c r="A5" s="13" t="str">
        <f aca="false">IF(B5="","","ACA-"&amp;TEXT(ROW()-3,"000"))</f>
        <v/>
      </c>
      <c r="B5" s="14"/>
      <c r="C5" s="15"/>
      <c r="D5" s="15"/>
      <c r="E5" s="15"/>
      <c r="F5" s="15"/>
      <c r="G5" s="14"/>
      <c r="H5" s="14"/>
      <c r="I5" s="15"/>
      <c r="J5" s="15"/>
      <c r="K5" s="14"/>
    </row>
    <row r="6" customFormat="false" ht="15" hidden="false" customHeight="false" outlineLevel="0" collapsed="false">
      <c r="A6" s="13" t="str">
        <f aca="false">IF(B6="","","ACA-"&amp;TEXT(ROW()-3,"000"))</f>
        <v/>
      </c>
      <c r="B6" s="14"/>
      <c r="C6" s="15"/>
      <c r="D6" s="15"/>
      <c r="E6" s="15"/>
      <c r="F6" s="15"/>
      <c r="G6" s="14"/>
      <c r="H6" s="14"/>
      <c r="I6" s="15"/>
      <c r="J6" s="15"/>
      <c r="K6" s="14"/>
    </row>
    <row r="7" customFormat="false" ht="15" hidden="false" customHeight="false" outlineLevel="0" collapsed="false">
      <c r="A7" s="13" t="str">
        <f aca="false">IF(B7="","","ACA-"&amp;TEXT(ROW()-3,"000"))</f>
        <v/>
      </c>
      <c r="B7" s="14"/>
      <c r="C7" s="15"/>
      <c r="D7" s="15"/>
      <c r="E7" s="15"/>
      <c r="F7" s="15"/>
      <c r="G7" s="14"/>
      <c r="H7" s="14"/>
      <c r="I7" s="15"/>
      <c r="J7" s="15"/>
      <c r="K7" s="14"/>
    </row>
    <row r="8" customFormat="false" ht="15" hidden="false" customHeight="false" outlineLevel="0" collapsed="false">
      <c r="A8" s="13" t="str">
        <f aca="false">IF(B8="","","ACA-"&amp;TEXT(ROW()-3,"000"))</f>
        <v/>
      </c>
      <c r="B8" s="14"/>
      <c r="C8" s="15"/>
      <c r="D8" s="15"/>
      <c r="E8" s="15"/>
      <c r="F8" s="15"/>
      <c r="G8" s="14"/>
      <c r="H8" s="14"/>
      <c r="I8" s="15"/>
      <c r="J8" s="15"/>
      <c r="K8" s="14"/>
    </row>
    <row r="9" customFormat="false" ht="15" hidden="false" customHeight="false" outlineLevel="0" collapsed="false">
      <c r="A9" s="13" t="str">
        <f aca="false">IF(B9="","","ACA-"&amp;TEXT(ROW()-3,"000"))</f>
        <v/>
      </c>
      <c r="B9" s="14"/>
      <c r="C9" s="15"/>
      <c r="D9" s="15"/>
      <c r="E9" s="15"/>
      <c r="F9" s="15"/>
      <c r="G9" s="14"/>
      <c r="H9" s="14"/>
      <c r="I9" s="15"/>
      <c r="J9" s="15"/>
      <c r="K9" s="14"/>
    </row>
    <row r="10" customFormat="false" ht="15" hidden="false" customHeight="false" outlineLevel="0" collapsed="false">
      <c r="A10" s="13" t="str">
        <f aca="false">IF(B10="","","ACA-"&amp;TEXT(ROW()-3,"000"))</f>
        <v/>
      </c>
      <c r="B10" s="14"/>
      <c r="C10" s="15"/>
      <c r="D10" s="15"/>
      <c r="E10" s="15"/>
      <c r="F10" s="15"/>
      <c r="G10" s="14"/>
      <c r="H10" s="14"/>
      <c r="I10" s="15"/>
      <c r="J10" s="15"/>
      <c r="K10" s="14"/>
    </row>
    <row r="11" customFormat="false" ht="15" hidden="false" customHeight="false" outlineLevel="0" collapsed="false">
      <c r="A11" s="13" t="str">
        <f aca="false">IF(B11="","","ACA-"&amp;TEXT(ROW()-3,"000"))</f>
        <v/>
      </c>
      <c r="B11" s="14"/>
      <c r="C11" s="15"/>
      <c r="D11" s="15"/>
      <c r="E11" s="15"/>
      <c r="F11" s="15"/>
      <c r="G11" s="14"/>
      <c r="H11" s="14"/>
      <c r="I11" s="15"/>
      <c r="J11" s="15"/>
      <c r="K11" s="14"/>
    </row>
    <row r="12" customFormat="false" ht="15" hidden="false" customHeight="false" outlineLevel="0" collapsed="false">
      <c r="A12" s="13" t="str">
        <f aca="false">IF(B12="","","ACA-"&amp;TEXT(ROW()-3,"000"))</f>
        <v/>
      </c>
      <c r="B12" s="14"/>
      <c r="C12" s="15"/>
      <c r="D12" s="15"/>
      <c r="E12" s="15"/>
      <c r="F12" s="15"/>
      <c r="G12" s="14"/>
      <c r="H12" s="14"/>
      <c r="I12" s="15"/>
      <c r="J12" s="15"/>
      <c r="K12" s="14"/>
    </row>
    <row r="13" customFormat="false" ht="15" hidden="false" customHeight="false" outlineLevel="0" collapsed="false">
      <c r="A13" s="13" t="str">
        <f aca="false">IF(B13="","","ACA-"&amp;TEXT(ROW()-3,"000"))</f>
        <v/>
      </c>
      <c r="B13" s="14"/>
      <c r="C13" s="15"/>
      <c r="D13" s="15"/>
      <c r="E13" s="15"/>
      <c r="F13" s="15"/>
      <c r="G13" s="14"/>
      <c r="H13" s="14"/>
      <c r="I13" s="15"/>
      <c r="J13" s="15"/>
      <c r="K13" s="14"/>
    </row>
    <row r="14" customFormat="false" ht="15" hidden="false" customHeight="false" outlineLevel="0" collapsed="false">
      <c r="A14" s="13" t="str">
        <f aca="false">IF(B14="","","ACA-"&amp;TEXT(ROW()-3,"000"))</f>
        <v/>
      </c>
      <c r="B14" s="14"/>
      <c r="C14" s="15"/>
      <c r="D14" s="15"/>
      <c r="E14" s="15"/>
      <c r="F14" s="15"/>
      <c r="G14" s="14"/>
      <c r="H14" s="14"/>
      <c r="I14" s="15"/>
      <c r="J14" s="15"/>
      <c r="K14" s="14"/>
    </row>
    <row r="15" customFormat="false" ht="15" hidden="false" customHeight="false" outlineLevel="0" collapsed="false">
      <c r="A15" s="13" t="str">
        <f aca="false">IF(B15="","","ACA-"&amp;TEXT(ROW()-3,"000"))</f>
        <v/>
      </c>
      <c r="B15" s="14"/>
      <c r="C15" s="15"/>
      <c r="D15" s="15"/>
      <c r="E15" s="15"/>
      <c r="F15" s="15"/>
      <c r="G15" s="14"/>
      <c r="H15" s="14"/>
      <c r="I15" s="15"/>
      <c r="J15" s="15"/>
      <c r="K15" s="14"/>
    </row>
    <row r="16" customFormat="false" ht="15" hidden="false" customHeight="false" outlineLevel="0" collapsed="false">
      <c r="A16" s="13" t="str">
        <f aca="false">IF(B16="","","ACA-"&amp;TEXT(ROW()-3,"000"))</f>
        <v/>
      </c>
      <c r="B16" s="14"/>
      <c r="C16" s="15"/>
      <c r="D16" s="15"/>
      <c r="E16" s="15"/>
      <c r="F16" s="15"/>
      <c r="G16" s="14"/>
      <c r="H16" s="14"/>
      <c r="I16" s="15"/>
      <c r="J16" s="15"/>
      <c r="K16" s="14"/>
    </row>
    <row r="17" customFormat="false" ht="15" hidden="false" customHeight="false" outlineLevel="0" collapsed="false">
      <c r="A17" s="13" t="str">
        <f aca="false">IF(B17="","","ACA-"&amp;TEXT(ROW()-3,"000"))</f>
        <v/>
      </c>
      <c r="B17" s="14"/>
      <c r="C17" s="15"/>
      <c r="D17" s="15"/>
      <c r="E17" s="15"/>
      <c r="F17" s="15"/>
      <c r="G17" s="14"/>
      <c r="H17" s="14"/>
      <c r="I17" s="15"/>
      <c r="J17" s="15"/>
      <c r="K17" s="14"/>
    </row>
    <row r="18" customFormat="false" ht="15" hidden="false" customHeight="false" outlineLevel="0" collapsed="false">
      <c r="A18" s="13" t="str">
        <f aca="false">IF(B18="","","ACA-"&amp;TEXT(ROW()-3,"000"))</f>
        <v/>
      </c>
      <c r="B18" s="14"/>
      <c r="C18" s="15"/>
      <c r="D18" s="15"/>
      <c r="E18" s="15"/>
      <c r="F18" s="15"/>
      <c r="G18" s="14"/>
      <c r="H18" s="14"/>
      <c r="I18" s="15"/>
      <c r="J18" s="15"/>
      <c r="K18" s="14"/>
    </row>
    <row r="19" customFormat="false" ht="15" hidden="false" customHeight="false" outlineLevel="0" collapsed="false">
      <c r="A19" s="13" t="str">
        <f aca="false">IF(B19="","","ACA-"&amp;TEXT(ROW()-3,"000"))</f>
        <v/>
      </c>
      <c r="B19" s="14"/>
      <c r="C19" s="15"/>
      <c r="D19" s="15"/>
      <c r="E19" s="15"/>
      <c r="F19" s="15"/>
      <c r="G19" s="14"/>
      <c r="H19" s="14"/>
      <c r="I19" s="15"/>
      <c r="J19" s="15"/>
      <c r="K19" s="14"/>
    </row>
    <row r="20" customFormat="false" ht="15" hidden="false" customHeight="false" outlineLevel="0" collapsed="false">
      <c r="A20" s="13" t="str">
        <f aca="false">IF(B20="","","ACA-"&amp;TEXT(ROW()-3,"000"))</f>
        <v/>
      </c>
      <c r="B20" s="14"/>
      <c r="C20" s="15"/>
      <c r="D20" s="15"/>
      <c r="E20" s="15"/>
      <c r="F20" s="15"/>
      <c r="G20" s="14"/>
      <c r="H20" s="14"/>
      <c r="I20" s="15"/>
      <c r="J20" s="15"/>
      <c r="K20" s="14"/>
    </row>
    <row r="21" customFormat="false" ht="15" hidden="false" customHeight="false" outlineLevel="0" collapsed="false">
      <c r="A21" s="13" t="str">
        <f aca="false">IF(B21="","","ACA-"&amp;TEXT(ROW()-3,"000"))</f>
        <v/>
      </c>
      <c r="B21" s="14"/>
      <c r="C21" s="15"/>
      <c r="D21" s="15"/>
      <c r="E21" s="15"/>
      <c r="F21" s="15"/>
      <c r="G21" s="14"/>
      <c r="H21" s="14"/>
      <c r="I21" s="15"/>
      <c r="J21" s="15"/>
      <c r="K21" s="14"/>
    </row>
    <row r="22" customFormat="false" ht="15" hidden="false" customHeight="false" outlineLevel="0" collapsed="false">
      <c r="A22" s="13" t="str">
        <f aca="false">IF(B22="","","ACA-"&amp;TEXT(ROW()-3,"000"))</f>
        <v/>
      </c>
      <c r="B22" s="14"/>
      <c r="C22" s="15"/>
      <c r="D22" s="15"/>
      <c r="E22" s="15"/>
      <c r="F22" s="15"/>
      <c r="G22" s="14"/>
      <c r="H22" s="14"/>
      <c r="I22" s="15"/>
      <c r="J22" s="15"/>
      <c r="K22" s="14"/>
    </row>
    <row r="23" customFormat="false" ht="15" hidden="false" customHeight="false" outlineLevel="0" collapsed="false">
      <c r="A23" s="13" t="str">
        <f aca="false">IF(B23="","","ACA-"&amp;TEXT(ROW()-3,"000"))</f>
        <v/>
      </c>
      <c r="B23" s="14"/>
      <c r="C23" s="15"/>
      <c r="D23" s="15"/>
      <c r="E23" s="15"/>
      <c r="F23" s="15"/>
      <c r="G23" s="14"/>
      <c r="H23" s="14"/>
      <c r="I23" s="15"/>
      <c r="J23" s="15"/>
      <c r="K23" s="14"/>
    </row>
  </sheetData>
  <mergeCells count="2">
    <mergeCell ref="A1:K1"/>
    <mergeCell ref="A2:K2"/>
  </mergeCells>
  <dataValidations count="80"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C4" type="list">
      <formula1>"Contenção,Erradicação,Recuperação,Corretiva,Comunicação,Investigação"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D4" type="list">
      <formula1>"Prepare,Detect,Verify &amp; Triage,Scope,Contain,Eradicate,Recover,Debrief"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F4" type="list">
      <formula1>"Baixa,Média,Alta,Crítica"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I4" type="list">
      <formula1>"Não iniciada,Em andamento,Concluída,Bloqueada,Cancelada"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C5" type="list">
      <formula1>"Contenção,Erradicação,Recuperação,Corretiva,Comunicação,Investigação"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D5" type="list">
      <formula1>"Prepare,Detect,Verify &amp; Triage,Scope,Contain,Eradicate,Recover,Debrief"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F5" type="list">
      <formula1>"Baixa,Média,Alta,Crítica"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I5" type="list">
      <formula1>"Não iniciada,Em andamento,Concluída,Bloqueada,Cancelada"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C6" type="list">
      <formula1>"Contenção,Erradicação,Recuperação,Corretiva,Comunicação,Investigação"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D6" type="list">
      <formula1>"Prepare,Detect,Verify &amp; Triage,Scope,Contain,Eradicate,Recover,Debrief"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F6" type="list">
      <formula1>"Baixa,Média,Alta,Crítica"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I6" type="list">
      <formula1>"Não iniciada,Em andamento,Concluída,Bloqueada,Cancelada"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C7" type="list">
      <formula1>"Contenção,Erradicação,Recuperação,Corretiva,Comunicação,Investigação"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D7" type="list">
      <formula1>"Prepare,Detect,Verify &amp; Triage,Scope,Contain,Eradicate,Recover,Debrief"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F7" type="list">
      <formula1>"Baixa,Média,Alta,Crítica"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I7" type="list">
      <formula1>"Não iniciada,Em andamento,Concluída,Bloqueada,Cancelada"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C8" type="list">
      <formula1>"Contenção,Erradicação,Recuperação,Corretiva,Comunicação,Investigação"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D8" type="list">
      <formula1>"Prepare,Detect,Verify &amp; Triage,Scope,Contain,Eradicate,Recover,Debrief"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F8" type="list">
      <formula1>"Baixa,Média,Alta,Crítica"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I8" type="list">
      <formula1>"Não iniciada,Em andamento,Concluída,Bloqueada,Cancelada"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C9" type="list">
      <formula1>"Contenção,Erradicação,Recuperação,Corretiva,Comunicação,Investigação"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D9" type="list">
      <formula1>"Prepare,Detect,Verify &amp; Triage,Scope,Contain,Eradicate,Recover,Debrief"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F9" type="list">
      <formula1>"Baixa,Média,Alta,Crítica"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I9" type="list">
      <formula1>"Não iniciada,Em andamento,Concluída,Bloqueada,Cancelada"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C10" type="list">
      <formula1>"Contenção,Erradicação,Recuperação,Corretiva,Comunicação,Investigação"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D10" type="list">
      <formula1>"Prepare,Detect,Verify &amp; Triage,Scope,Contain,Eradicate,Recover,Debrief"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F10" type="list">
      <formula1>"Baixa,Média,Alta,Crítica"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I10" type="list">
      <formula1>"Não iniciada,Em andamento,Concluída,Bloqueada,Cancelada"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C11" type="list">
      <formula1>"Contenção,Erradicação,Recuperação,Corretiva,Comunicação,Investigação"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D11" type="list">
      <formula1>"Prepare,Detect,Verify &amp; Triage,Scope,Contain,Eradicate,Recover,Debrief"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F11" type="list">
      <formula1>"Baixa,Média,Alta,Crítica"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I11" type="list">
      <formula1>"Não iniciada,Em andamento,Concluída,Bloqueada,Cancelada"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C12" type="list">
      <formula1>"Contenção,Erradicação,Recuperação,Corretiva,Comunicação,Investigação"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D12" type="list">
      <formula1>"Prepare,Detect,Verify &amp; Triage,Scope,Contain,Eradicate,Recover,Debrief"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F12" type="list">
      <formula1>"Baixa,Média,Alta,Crítica"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I12" type="list">
      <formula1>"Não iniciada,Em andamento,Concluída,Bloqueada,Cancelada"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C13" type="list">
      <formula1>"Contenção,Erradicação,Recuperação,Corretiva,Comunicação,Investigação"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D13" type="list">
      <formula1>"Prepare,Detect,Verify &amp; Triage,Scope,Contain,Eradicate,Recover,Debrief"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F13" type="list">
      <formula1>"Baixa,Média,Alta,Crítica"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I13" type="list">
      <formula1>"Não iniciada,Em andamento,Concluída,Bloqueada,Cancelada"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C14" type="list">
      <formula1>"Contenção,Erradicação,Recuperação,Corretiva,Comunicação,Investigação"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D14" type="list">
      <formula1>"Prepare,Detect,Verify &amp; Triage,Scope,Contain,Eradicate,Recover,Debrief"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F14" type="list">
      <formula1>"Baixa,Média,Alta,Crítica"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I14" type="list">
      <formula1>"Não iniciada,Em andamento,Concluída,Bloqueada,Cancelada"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C15" type="list">
      <formula1>"Contenção,Erradicação,Recuperação,Corretiva,Comunicação,Investigação"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D15" type="list">
      <formula1>"Prepare,Detect,Verify &amp; Triage,Scope,Contain,Eradicate,Recover,Debrief"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F15" type="list">
      <formula1>"Baixa,Média,Alta,Crítica"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I15" type="list">
      <formula1>"Não iniciada,Em andamento,Concluída,Bloqueada,Cancelada"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C16" type="list">
      <formula1>"Contenção,Erradicação,Recuperação,Corretiva,Comunicação,Investigação"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D16" type="list">
      <formula1>"Prepare,Detect,Verify &amp; Triage,Scope,Contain,Eradicate,Recover,Debrief"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F16" type="list">
      <formula1>"Baixa,Média,Alta,Crítica"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I16" type="list">
      <formula1>"Não iniciada,Em andamento,Concluída,Bloqueada,Cancelada"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C17" type="list">
      <formula1>"Contenção,Erradicação,Recuperação,Corretiva,Comunicação,Investigação"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D17" type="list">
      <formula1>"Prepare,Detect,Verify &amp; Triage,Scope,Contain,Eradicate,Recover,Debrief"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F17" type="list">
      <formula1>"Baixa,Média,Alta,Crítica"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I17" type="list">
      <formula1>"Não iniciada,Em andamento,Concluída,Bloqueada,Cancelada"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C18" type="list">
      <formula1>"Contenção,Erradicação,Recuperação,Corretiva,Comunicação,Investigação"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D18" type="list">
      <formula1>"Prepare,Detect,Verify &amp; Triage,Scope,Contain,Eradicate,Recover,Debrief"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F18" type="list">
      <formula1>"Baixa,Média,Alta,Crítica"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I18" type="list">
      <formula1>"Não iniciada,Em andamento,Concluída,Bloqueada,Cancelada"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C19" type="list">
      <formula1>"Contenção,Erradicação,Recuperação,Corretiva,Comunicação,Investigação"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D19" type="list">
      <formula1>"Prepare,Detect,Verify &amp; Triage,Scope,Contain,Eradicate,Recover,Debrief"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F19" type="list">
      <formula1>"Baixa,Média,Alta,Crítica"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I19" type="list">
      <formula1>"Não iniciada,Em andamento,Concluída,Bloqueada,Cancelada"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C20" type="list">
      <formula1>"Contenção,Erradicação,Recuperação,Corretiva,Comunicação,Investigação"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D20" type="list">
      <formula1>"Prepare,Detect,Verify &amp; Triage,Scope,Contain,Eradicate,Recover,Debrief"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F20" type="list">
      <formula1>"Baixa,Média,Alta,Crítica"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I20" type="list">
      <formula1>"Não iniciada,Em andamento,Concluída,Bloqueada,Cancelada"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C21" type="list">
      <formula1>"Contenção,Erradicação,Recuperação,Corretiva,Comunicação,Investigação"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D21" type="list">
      <formula1>"Prepare,Detect,Verify &amp; Triage,Scope,Contain,Eradicate,Recover,Debrief"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F21" type="list">
      <formula1>"Baixa,Média,Alta,Crítica"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I21" type="list">
      <formula1>"Não iniciada,Em andamento,Concluída,Bloqueada,Cancelada"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C22" type="list">
      <formula1>"Contenção,Erradicação,Recuperação,Corretiva,Comunicação,Investigação"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D22" type="list">
      <formula1>"Prepare,Detect,Verify &amp; Triage,Scope,Contain,Eradicate,Recover,Debrief"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F22" type="list">
      <formula1>"Baixa,Média,Alta,Crítica"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I22" type="list">
      <formula1>"Não iniciada,Em andamento,Concluída,Bloqueada,Cancelada"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C23" type="list">
      <formula1>"Contenção,Erradicação,Recuperação,Corretiva,Comunicação,Investigação"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D23" type="list">
      <formula1>"Prepare,Detect,Verify &amp; Triage,Scope,Contain,Eradicate,Recover,Debrief"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F23" type="list">
      <formula1>"Baixa,Média,Alta,Crítica"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I23" type="list">
      <formula1>"Não iniciada,Em andamento,Concluída,Bloqueada,Cancelada"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20"/>
    <col collapsed="false" customWidth="true" hidden="false" outlineLevel="0" max="3" min="3" style="1" width="50"/>
  </cols>
  <sheetData>
    <row r="1" customFormat="false" ht="33.75" hidden="false" customHeight="true" outlineLevel="0" collapsed="false">
      <c r="A1" s="2" t="s">
        <v>82</v>
      </c>
      <c r="B1" s="2"/>
      <c r="C1" s="2"/>
    </row>
    <row r="2" customFormat="false" ht="15" hidden="false" customHeight="false" outlineLevel="0" collapsed="false">
      <c r="A2" s="3" t="s">
        <v>83</v>
      </c>
      <c r="B2" s="3"/>
      <c r="C2" s="3"/>
    </row>
    <row r="3" customFormat="false" ht="30" hidden="false" customHeight="true" outlineLevel="0" collapsed="false">
      <c r="A3" s="10" t="s">
        <v>84</v>
      </c>
      <c r="B3" s="16" t="n">
        <f aca="false">IFERROR(Cadastro_Incidente!B12,"Não informado")</f>
        <v>0</v>
      </c>
      <c r="C3" s="17" t="s">
        <v>85</v>
      </c>
    </row>
    <row r="4" customFormat="false" ht="30" hidden="false" customHeight="true" outlineLevel="0" collapsed="false">
      <c r="A4" s="10" t="s">
        <v>86</v>
      </c>
      <c r="B4" s="16" t="n">
        <f aca="false">COUNTIFS(Plano_Acoes!B4:B200,"&lt;&gt;",Plano_Acoes!I4:I200,"&lt;&gt;Concluída",Plano_Acoes!I4:I200,"&lt;&gt;Cancelada")</f>
        <v>0</v>
      </c>
      <c r="C4" s="17" t="s">
        <v>87</v>
      </c>
    </row>
    <row r="5" customFormat="false" ht="30" hidden="false" customHeight="true" outlineLevel="0" collapsed="false">
      <c r="A5" s="10" t="s">
        <v>88</v>
      </c>
      <c r="B5" s="16" t="n">
        <f aca="false">COUNTIF(Plano_Acoes!I4:I200,"Concluída")</f>
        <v>0</v>
      </c>
      <c r="C5" s="17"/>
    </row>
    <row r="6" customFormat="false" ht="30" hidden="false" customHeight="true" outlineLevel="0" collapsed="false">
      <c r="A6" s="10" t="s">
        <v>89</v>
      </c>
      <c r="B6" s="16" t="n">
        <f aca="false">COUNTIF(Registro_Decisoes!F4:F200,"&lt;&gt;")</f>
        <v>0</v>
      </c>
      <c r="C6" s="17" t="s">
        <v>90</v>
      </c>
    </row>
    <row r="7" customFormat="false" ht="30" hidden="false" customHeight="true" outlineLevel="0" collapsed="false">
      <c r="A7" s="10" t="s">
        <v>91</v>
      </c>
      <c r="B7" s="16" t="n">
        <f aca="false">COUNTIF(Registro_Decisoes!B4:B200,"&gt;1")</f>
        <v>0</v>
      </c>
      <c r="C7" s="17" t="s">
        <v>92</v>
      </c>
    </row>
    <row r="8" customFormat="false" ht="30" hidden="false" customHeight="true" outlineLevel="0" collapsed="false">
      <c r="A8" s="10" t="s">
        <v>93</v>
      </c>
      <c r="B8" s="16" t="n">
        <f aca="false">COUNTIF(Linha_do_Tempo!C4:C200,"&lt;&gt;")</f>
        <v>0</v>
      </c>
      <c r="C8" s="17" t="s">
        <v>94</v>
      </c>
    </row>
    <row r="9" customFormat="false" ht="30" hidden="false" customHeight="true" outlineLevel="0" collapsed="false">
      <c r="A9" s="10" t="s">
        <v>95</v>
      </c>
      <c r="B9" s="16" t="n">
        <f aca="false">SUMPRODUCT((Linha_do_Tempo!G4:G200&lt;&gt;"")/COUNTIF(Linha_do_Tempo!G4:G200,Linha_do_Tempo!G4:G200&amp;""))</f>
        <v>0</v>
      </c>
      <c r="C9" s="17" t="s">
        <v>96</v>
      </c>
    </row>
    <row r="10" customFormat="false" ht="30" hidden="false" customHeight="true" outlineLevel="0" collapsed="false">
      <c r="A10" s="10" t="s">
        <v>97</v>
      </c>
      <c r="B10" s="16" t="n">
        <f aca="false">COUNTIF(Gestao_Evidencias!B4:B200,"&lt;&gt;")</f>
        <v>0</v>
      </c>
      <c r="C10" s="17" t="s">
        <v>98</v>
      </c>
    </row>
    <row r="11" customFormat="false" ht="30" hidden="false" customHeight="true" outlineLevel="0" collapsed="false">
      <c r="A11" s="10" t="s">
        <v>99</v>
      </c>
      <c r="B11" s="16" t="n">
        <f aca="false">COUNTIFS(Gestao_Evidencias!B4:B200,"&lt;&gt;",Gestao_Evidencias!G4:G200,"&lt;&gt;Sim")</f>
        <v>0</v>
      </c>
      <c r="C11" s="17" t="s">
        <v>100</v>
      </c>
    </row>
    <row r="12" customFormat="false" ht="30" hidden="false" customHeight="true" outlineLevel="0" collapsed="false">
      <c r="A12" s="10" t="s">
        <v>101</v>
      </c>
      <c r="B12" s="16" t="str">
        <f aca="false">IFERROR(TEXT(Cadastro_Incidente!B5-Cadastro_Incidente!B4,"[h]\h mm\m"),"Preencher datas no Cadastro")</f>
        <v>0h 00m</v>
      </c>
      <c r="C12" s="17" t="s">
        <v>102</v>
      </c>
    </row>
    <row r="13" customFormat="false" ht="30" hidden="false" customHeight="true" outlineLevel="0" collapsed="false">
      <c r="A13" s="10" t="s">
        <v>103</v>
      </c>
      <c r="B13" s="16" t="str">
        <f aca="false">"Consultar Instrumento 2 — avaliação de risco e decisão de comunicação"</f>
        <v>Consultar Instrumento 2 — avaliação de risco e decisão de comunicação</v>
      </c>
      <c r="C13" s="17" t="s">
        <v>104</v>
      </c>
    </row>
  </sheetData>
  <mergeCells count="2">
    <mergeCell ref="A1:C1"/>
    <mergeCell ref="A2:C2"/>
  </mergeCells>
  <conditionalFormatting sqref="B4">
    <cfRule type="cellIs" priority="2" operator="greaterThan" aboveAverage="0" equalAverage="0" bottom="0" percent="0" rank="0" text="" dxfId="0">
      <formula>0</formula>
    </cfRule>
  </conditionalFormatting>
  <conditionalFormatting sqref="B9">
    <cfRule type="cellIs" priority="3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2026-10-20T19:32:46Z</dcterms:created>
  <dc:creator>openpyxl</dc:creator>
  <dc:description/>
  <dc:language>en-US</dc:language>
  <cp:lastModifiedBy/>
  <dcterms:modified xsi:type="dcterms:W3CDTF">2026-10-20T19:32:46Z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