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oes" sheetId="1" state="visible" r:id="rId3"/>
    <sheet name="Controle_Ciclos" sheetId="2" state="visible" r:id="rId4"/>
    <sheet name="Checklis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<sst xmlns="http://schemas.openxmlformats.org/spreadsheetml/2006/main" count="348" uniqueCount="212">
  <si>
    <t xml:space="preserve">DAIR — Checklist Operacional Dinâmico</t>
  </si>
  <si>
    <t xml:space="preserve">Versão 0.3 · Instrumento 3 de 5 · Modelo reutilizável</t>
  </si>
  <si>
    <t xml:space="preserve">AVISO</t>
  </si>
  <si>
    <t xml:space="preserve">Este arquivo específico (sufixo _EXEMPLO-INC-2026-001) contém dados fictícios de treinamento. O modelo em branco, para uso real, é o arquivo sem esse sufixo.</t>
  </si>
  <si>
    <t xml:space="preserve">O que é este arquivo</t>
  </si>
  <si>
    <t xml:space="preserve">Checklist para uso durante a execução de um incidente, organizado por atividade — não por uma sequência fixa de fases. Cobre os oito waypoints do DAIR, com ênfase nas atividades do Response Actions Loop (Scope, Contain, Eradicate, Recover), que podem se repetir em múltiplas iterações.</t>
  </si>
  <si>
    <t xml:space="preserve">Este checklist NÃO é linear</t>
  </si>
  <si>
    <t xml:space="preserve">Não há ordem obrigatória de preenchimento. A coluna 'Ciclo DAIR' identifica a qual iteração do Response Actions Loop uma atividade pertence (CIC-01, CIC-02...). Ao reabrir Scope/Contain/Eradicate/Recover por uma nova evidência, duplique as linhas relevantes com um novo Ciclo DAIR em vez de sobrescrever o registro da iteração anterior.</t>
  </si>
  <si>
    <t xml:space="preserve">Conclusão de atividade x efetividade comprovada</t>
  </si>
  <si>
    <t xml:space="preserve">A coluna 'Status' indica se a atividade foi executada. A coluna 'Efetividade Comprovada' é independente e indica se há validação técnica de que a medida funcionou (por exemplo: a atividade 'revogar token' pode estar com Status = Concluída e Efetividade = Testada — inefetiva, caso se descubra posteriormente que o token continuava ativo). Nunca presuma efetividade apenas porque a atividade foi marcada como concluída.</t>
  </si>
  <si>
    <t xml:space="preserve">Camada de privacidade transversal</t>
  </si>
  <si>
    <t xml:space="preserve">A coluna 'Impacto em Privacidade' sinaliza atividades com relevância direta para a avaliação de risco aos titulares (Instrumento 2), independentemente do waypoint. Trate-a como uma lente que atravessa todas as fases, não como uma fase isolada.</t>
  </si>
  <si>
    <t xml:space="preserve">Controle de ciclos</t>
  </si>
  <si>
    <t xml:space="preserve">A aba Controle_Ciclos registra a abertura e o encerramento de cada iteração do Response Actions Loop, o evento que motivou a reentrada e a decisão (ID) que autorizou a saída do ciclo — conforme o modelo DAIR original, que exige decisão explícita e atribuível para encerrar o loop.</t>
  </si>
  <si>
    <t xml:space="preserve">Linhas pré-preenchidas</t>
  </si>
  <si>
    <t xml:space="preserve">As colunas Waypoint, Objetivo, Atividade, Condição de Execução, Evidência Exigida, Critério de Conclusão e Impacto em Privacidade trazem um catálogo genérico de atividades recorrentes em incidentes com dados pessoais, incluindo as verificações específicas exigidas (revogação de identidades/sessões/tokens, persistência do atacante, validação de contenção, reavaliação de escopo, preservação de evidências, recuperação de serviços, riscos residuais e debrief). Ajuste, remova ou acrescente linhas conforme a realidade da sua organização — nenhuma delas deve ser lida como dado de um incidente real.</t>
  </si>
  <si>
    <t xml:space="preserve">Campos de entrada</t>
  </si>
  <si>
    <t xml:space="preserve">Preencha Responsável, Prazo/Data, Status, Efetividade Comprovada, Resultado Observado, Evidência Vinculada e Necessidade de Revisão durante a resposta. Deixe 'Não iniciada' / 'Não testada' quando ainda não houver informação — não deixe células em branco sem explicação.</t>
  </si>
  <si>
    <t xml:space="preserve">Controle de Ciclos DAIR</t>
  </si>
  <si>
    <t xml:space="preserve">EXEMPLO FICTÍCIO — INC-2026-001 — SOMENTE TREINAMENTO (Aurora Comércio Digital S.A., controladora fictícia)</t>
  </si>
  <si>
    <t xml:space="preserve">ID do Ciclo</t>
  </si>
  <si>
    <t xml:space="preserve">Motivo da Abertura / Reentrada</t>
  </si>
  <si>
    <t xml:space="preserve">Evento Relacionado (ID)</t>
  </si>
  <si>
    <t xml:space="preserve">Data de Abertura</t>
  </si>
  <si>
    <t xml:space="preserve">Decisão de Saída (ID)</t>
  </si>
  <si>
    <t xml:space="preserve">Data de Encerramento</t>
  </si>
  <si>
    <t xml:space="preserve">Situação</t>
  </si>
  <si>
    <t xml:space="preserve">Abertura da resposta após confirmação de acesso indevido a dados pessoais (E02)</t>
  </si>
  <si>
    <t xml:space="preserve">EVT-002</t>
  </si>
  <si>
    <t xml:space="preserve">—</t>
  </si>
  <si>
    <t xml:space="preserve">Reaberto</t>
  </si>
  <si>
    <t xml:space="preserve">Reentrada por exportação de 30.000 registros via token de API persistente (E04)</t>
  </si>
  <si>
    <t xml:space="preserve">EVT-005</t>
  </si>
  <si>
    <t xml:space="preserve">DEC-004</t>
  </si>
  <si>
    <t xml:space="preserve">Encerrado</t>
  </si>
  <si>
    <t xml:space="preserve">Checklist Operacional Dinâmico</t>
  </si>
  <si>
    <t xml:space="preserve">ID da Atividade</t>
  </si>
  <si>
    <t xml:space="preserve">Ciclo DAIR</t>
  </si>
  <si>
    <t xml:space="preserve">Waypoint DAIR</t>
  </si>
  <si>
    <t xml:space="preserve">Objetivo</t>
  </si>
  <si>
    <t xml:space="preserve">Atividade</t>
  </si>
  <si>
    <t xml:space="preserve">Condição de Execução</t>
  </si>
  <si>
    <t xml:space="preserve">Responsável</t>
  </si>
  <si>
    <t xml:space="preserve">Prioridade</t>
  </si>
  <si>
    <t xml:space="preserve">Status</t>
  </si>
  <si>
    <t xml:space="preserve">Efetividade Comprovada</t>
  </si>
  <si>
    <t xml:space="preserve">Evidência Exigida</t>
  </si>
  <si>
    <t xml:space="preserve">Evidência Vinculada (ID)</t>
  </si>
  <si>
    <t xml:space="preserve">Resultado Observado</t>
  </si>
  <si>
    <t xml:space="preserve">Critério de Conclusão</t>
  </si>
  <si>
    <t xml:space="preserve">Impacto em Privacidade</t>
  </si>
  <si>
    <t xml:space="preserve">Necessidade de Revisão</t>
  </si>
  <si>
    <t xml:space="preserve">Prepare</t>
  </si>
  <si>
    <t xml:space="preserve">Garantir capacidade de resposta</t>
  </si>
  <si>
    <t xml:space="preserve">Designar líder de IR, SOC, IAM, forense, encarregado, Jurídico e representante autorizado do controlador</t>
  </si>
  <si>
    <t xml:space="preserve">Procedimento de resposta aprovado</t>
  </si>
  <si>
    <t xml:space="preserve">Líder IR</t>
  </si>
  <si>
    <t xml:space="preserve">Concluída</t>
  </si>
  <si>
    <t xml:space="preserve">Não aplicável</t>
  </si>
  <si>
    <t xml:space="preserve">Ata de designação de papéis</t>
  </si>
  <si>
    <t xml:space="preserve">Papéis designados conforme matriz de governança do repositório</t>
  </si>
  <si>
    <t xml:space="preserve">Papéis documentados e aceitos por cada designado</t>
  </si>
  <si>
    <t xml:space="preserve">A avaliar</t>
  </si>
  <si>
    <t xml:space="preserve">Não</t>
  </si>
  <si>
    <t xml:space="preserve">Inventariar fontes de log e capacidade de revogar contas, sessões, tokens e integrações</t>
  </si>
  <si>
    <t xml:space="preserve">Inventário de ativos disponível</t>
  </si>
  <si>
    <t xml:space="preserve">SOC / TI</t>
  </si>
  <si>
    <t xml:space="preserve">Inventário de fontes de log e mecanismos de revogação</t>
  </si>
  <si>
    <t xml:space="preserve">Inventário de fontes de log e mecanismos de revogação confirmado antes do incidente</t>
  </si>
  <si>
    <t xml:space="preserve">Inventário revisado nos últimos 12 meses</t>
  </si>
  <si>
    <t xml:space="preserve">CIC-01</t>
  </si>
  <si>
    <t xml:space="preserve">Detect</t>
  </si>
  <si>
    <t xml:space="preserve">Identificar o evento inicial</t>
  </si>
  <si>
    <t xml:space="preserve">Registrar o alerta ou indício inicial, preservando horário, fonte e timezone</t>
  </si>
  <si>
    <t xml:space="preserve">Ferramenta de monitoramento ativa</t>
  </si>
  <si>
    <t xml:space="preserve">SOC</t>
  </si>
  <si>
    <t xml:space="preserve">Registro bruto do alerta preservado</t>
  </si>
  <si>
    <t xml:space="preserve">EVD-001</t>
  </si>
  <si>
    <t xml:space="preserve">Alerta de login privilegiado atípico (E01) preservado às 09h10</t>
  </si>
  <si>
    <t xml:space="preserve">Evento registrado na linha do tempo (Instrumento 1)</t>
  </si>
  <si>
    <t xml:space="preserve">Verify &amp; Triage</t>
  </si>
  <si>
    <t xml:space="preserve">Confirmar a natureza do acesso</t>
  </si>
  <si>
    <t xml:space="preserve">Confirmar se há acesso ou exposição de dados pessoais e identificar sistemas e identidades envolvidos</t>
  </si>
  <si>
    <t xml:space="preserve">Logs e evidências preliminares disponíveis</t>
  </si>
  <si>
    <t xml:space="preserve">Analista forense</t>
  </si>
  <si>
    <t xml:space="preserve">Testada — efetiva</t>
  </si>
  <si>
    <t xml:space="preserve">Evidência de confirmação do acesso</t>
  </si>
  <si>
    <t xml:space="preserve">EVD-002</t>
  </si>
  <si>
    <t xml:space="preserve">Consulta indevida a 200 registros identificáveis confirmada (E02)</t>
  </si>
  <si>
    <t xml:space="preserve">Confirmação registrada com grau de certeza explícito</t>
  </si>
  <si>
    <t xml:space="preserve">Sim</t>
  </si>
  <si>
    <t xml:space="preserve">Fixar o marco de conhecimento</t>
  </si>
  <si>
    <t xml:space="preserve">Fixar e justificar o marco de conhecimento do controlador sobre a afetação de dados pessoais</t>
  </si>
  <si>
    <t xml:space="preserve">Confirmação do acesso concluída</t>
  </si>
  <si>
    <t xml:space="preserve">Encarregado / DPO</t>
  </si>
  <si>
    <t xml:space="preserve">Registro de decisão com data e justificativa</t>
  </si>
  <si>
    <t xml:space="preserve">Marco de conhecimento do controlador fixado em 19/10/2026 09h25</t>
  </si>
  <si>
    <t xml:space="preserve">Marco registrado no Instrumento 1 e no Instrumento 2</t>
  </si>
  <si>
    <t xml:space="preserve">Acionar governança</t>
  </si>
  <si>
    <t xml:space="preserve">Acionar encarregado e Jurídico; abrir avaliação regulatória inicial</t>
  </si>
  <si>
    <t xml:space="preserve">Marco de conhecimento fixado</t>
  </si>
  <si>
    <t xml:space="preserve">Registro de acionamento (e-mail, ata ou ticket)</t>
  </si>
  <si>
    <t xml:space="preserve">Encarregado e Jurídico acionados; avaliação regulatória v1 aberta no Instrumento 2</t>
  </si>
  <si>
    <t xml:space="preserve">Avaliação v1 aberta no Instrumento 2</t>
  </si>
  <si>
    <t xml:space="preserve">Scope</t>
  </si>
  <si>
    <t xml:space="preserve">Delimitar o escopo conhecido</t>
  </si>
  <si>
    <t xml:space="preserve">Delimitar contas, dispositivos, sistemas e dados pessoais afetados; registrar o que permanece desconhecido</t>
  </si>
  <si>
    <t xml:space="preserve">Acesso a logs de identidade e aplicação</t>
  </si>
  <si>
    <t xml:space="preserve">Registro de escopo com itens confirmados e itens desconhecidos</t>
  </si>
  <si>
    <t xml:space="preserve">Escopo inicial delimitado: 1 conta administrativa, 200 registros</t>
  </si>
  <si>
    <t xml:space="preserve">Escopo documentado e revisado pela equipe técnica</t>
  </si>
  <si>
    <t xml:space="preserve">CIC-02</t>
  </si>
  <si>
    <t xml:space="preserve">Reavaliar o escopo</t>
  </si>
  <si>
    <t xml:space="preserve">Reavaliar o escopo sempre que surgir evidência que amplie ou altere o universo de dados ou titulares afetados</t>
  </si>
  <si>
    <t xml:space="preserve">Nova evidência relevante identificada</t>
  </si>
  <si>
    <t xml:space="preserve">Comparação entre escopo anterior e escopo revisado</t>
  </si>
  <si>
    <t xml:space="preserve">EVD-004</t>
  </si>
  <si>
    <t xml:space="preserve">Escopo ampliado para 30.000 titulares distintos após E04</t>
  </si>
  <si>
    <t xml:space="preserve">Diferenças documentadas e refletidas em novo Ciclo DAIR</t>
  </si>
  <si>
    <t xml:space="preserve">Sim — mudança de escopo</t>
  </si>
  <si>
    <t xml:space="preserve">Contain</t>
  </si>
  <si>
    <t xml:space="preserve">Revogar identidades e sessões</t>
  </si>
  <si>
    <t xml:space="preserve">Bloquear contas comprometidas e revogar todas as sessões ativas associadas</t>
  </si>
  <si>
    <t xml:space="preserve">Identidade comprometida confirmada</t>
  </si>
  <si>
    <t xml:space="preserve">IAM</t>
  </si>
  <si>
    <t xml:space="preserve">Log de bloqueio de conta e encerramento de sessão</t>
  </si>
  <si>
    <t xml:space="preserve">EVD-003</t>
  </si>
  <si>
    <t xml:space="preserve">Conta bloqueada e sessão encerrada às 09h35</t>
  </si>
  <si>
    <t xml:space="preserve">Nenhuma sessão ativa remanescente confirmada por teste técnico</t>
  </si>
  <si>
    <t xml:space="preserve">Revogar tokens de API e credenciais derivadas</t>
  </si>
  <si>
    <t xml:space="preserve">Revogar tokens de API, chaves e credenciais de aplicação associadas à identidade comprometida</t>
  </si>
  <si>
    <t xml:space="preserve">Não iniciada</t>
  </si>
  <si>
    <t xml:space="preserve">Não testada</t>
  </si>
  <si>
    <t xml:space="preserve">Log de revogação de token e teste de uso pós-revogação</t>
  </si>
  <si>
    <t xml:space="preserve">Token de API não revogado no bloqueio inicial — falha de contenção identificada somente após E04</t>
  </si>
  <si>
    <t xml:space="preserve">Token testado e confirmado inválido após revogação</t>
  </si>
  <si>
    <t xml:space="preserve">Sim — falha identificada</t>
  </si>
  <si>
    <t xml:space="preserve">Validar a contenção</t>
  </si>
  <si>
    <t xml:space="preserve">Testar tecnicamente se os mecanismos de acesso conhecidos foram efetivamente bloqueados, não apenas presumir bloqueio pela ação administrativa</t>
  </si>
  <si>
    <t xml:space="preserve">Ações de revogação executadas</t>
  </si>
  <si>
    <t xml:space="preserve">Testada — parcialmente efetiva</t>
  </si>
  <si>
    <t xml:space="preserve">Evidência de teste de validação (tentativa de acesso pós-bloqueio)</t>
  </si>
  <si>
    <t xml:space="preserve">Bloqueio de conta validado; revogação de token não testada nesta rodada</t>
  </si>
  <si>
    <t xml:space="preserve">Teste de validação documentado com resultado explícito</t>
  </si>
  <si>
    <t xml:space="preserve">Verificar persistência do atacante</t>
  </si>
  <si>
    <t xml:space="preserve">Investigar indicadores de persistência (contas criadas, regras de encaminhamento, chaves adicionais, integrações não reconhecidas)</t>
  </si>
  <si>
    <t xml:space="preserve">Acesso às fontes de log e configuração dos sistemas afetados</t>
  </si>
  <si>
    <t xml:space="preserve">Relatório de varredura de persistência</t>
  </si>
  <si>
    <t xml:space="preserve">EVD-006</t>
  </si>
  <si>
    <t xml:space="preserve">Verificação de outros tokens com cobertura limitada (E08); sem indicadores adicionais no escopo analisado</t>
  </si>
  <si>
    <t xml:space="preserve">Varredura concluída e resultado registrado, inclusive se inconclusivo</t>
  </si>
  <si>
    <t xml:space="preserve">Eradicate</t>
  </si>
  <si>
    <t xml:space="preserve">Remover o mecanismo de acesso indevido</t>
  </si>
  <si>
    <t xml:space="preserve">Eliminar o vetor confirmado e revisar privilégios excessivos relacionados</t>
  </si>
  <si>
    <t xml:space="preserve">Causa ou mecanismo de acesso identificado</t>
  </si>
  <si>
    <t xml:space="preserve">Dono do CRM / IAM</t>
  </si>
  <si>
    <t xml:space="preserve">Evidência de alteração de privilégio ou remoção de acesso</t>
  </si>
  <si>
    <t xml:space="preserve">EVD-005</t>
  </si>
  <si>
    <t xml:space="preserve">Privilégios de exportação da conta de suporte revisados e reduzidos</t>
  </si>
  <si>
    <t xml:space="preserve">Remoção testada, não apenas declarada</t>
  </si>
  <si>
    <t xml:space="preserve">Investigar causa provável</t>
  </si>
  <si>
    <t xml:space="preserve">Investigar a causa provável do incidente sem declará-la comprovada além do que as evidências sustentam</t>
  </si>
  <si>
    <t xml:space="preserve">Indícios técnicos disponíveis (ex.: telemetria de e-mail/IdP)</t>
  </si>
  <si>
    <t xml:space="preserve">Registro de hipóteses com grau de certeza</t>
  </si>
  <si>
    <t xml:space="preserve">Phishing identificado como hipótese corroborada por telemetria de e-mail/IdP (E09); não comprovada de forma definitiva</t>
  </si>
  <si>
    <t xml:space="preserve">Causa classificada como confirmada, hipótese corroborada ou hipótese não corroborada</t>
  </si>
  <si>
    <t xml:space="preserve">Recover</t>
  </si>
  <si>
    <t xml:space="preserve">Restabelecer serviço de forma restrita</t>
  </si>
  <si>
    <t xml:space="preserve">Restabelecer o serviço afetado com privilégios reduzidos e monitoramento adicional</t>
  </si>
  <si>
    <t xml:space="preserve">Contenção validada tecnicamente</t>
  </si>
  <si>
    <t xml:space="preserve">Dono do CRM</t>
  </si>
  <si>
    <t xml:space="preserve">Registro de restabelecimento e configuração de monitoramento</t>
  </si>
  <si>
    <t xml:space="preserve">Suporte restabelecido com privilégios reduzidos às 10h00; monitoramento adicional aplicado</t>
  </si>
  <si>
    <t xml:space="preserve">Serviço restabelecido sem reabertura do vetor original</t>
  </si>
  <si>
    <t xml:space="preserve">Acompanhar indicadores pós-recuperação</t>
  </si>
  <si>
    <t xml:space="preserve">Monitorar indicadores de uso anômalo após o restabelecimento do serviço</t>
  </si>
  <si>
    <t xml:space="preserve">Serviço restabelecido</t>
  </si>
  <si>
    <t xml:space="preserve">Em andamento</t>
  </si>
  <si>
    <t xml:space="preserve">Painel ou alerta de monitoramento configurado</t>
  </si>
  <si>
    <t xml:space="preserve">Monitoramento reforçado após a segunda iteração; observação em curso no encerramento do exercício</t>
  </si>
  <si>
    <t xml:space="preserve">Período mínimo de observação definido e cumprido</t>
  </si>
  <si>
    <t xml:space="preserve">Documentar riscos residuais</t>
  </si>
  <si>
    <t xml:space="preserve">Registrar riscos que não podem ser eliminados apenas pela recuperação técnica (ex.: dados já exfiltrados)</t>
  </si>
  <si>
    <t xml:space="preserve">Exportação ou exposição confirmada</t>
  </si>
  <si>
    <t xml:space="preserve">Registro de risco residual vinculado à avaliação de titulares</t>
  </si>
  <si>
    <t xml:space="preserve">Redistribuição dos dados exportados permanece desconhecida; risco residual registrado no Instrumento 2</t>
  </si>
  <si>
    <t xml:space="preserve">Risco residual registrado no Instrumento 2 e no relatório final</t>
  </si>
  <si>
    <t xml:space="preserve">Debrief</t>
  </si>
  <si>
    <t xml:space="preserve">Preservar cadeia de custódia e evidências</t>
  </si>
  <si>
    <t xml:space="preserve">Consolidar e preservar todas as evidências coletadas durante o incidente, com cadeia de custódia íntegra</t>
  </si>
  <si>
    <t xml:space="preserve">Resposta técnica ativa encerrada ou em encerramento</t>
  </si>
  <si>
    <t xml:space="preserve">Registro de custódia por evidência (Instrumento 1)</t>
  </si>
  <si>
    <t xml:space="preserve">Cadeia de custódia preservada para as evidências E01 a E09 (ver Instrumento 1)</t>
  </si>
  <si>
    <t xml:space="preserve">Cadeia de custódia completa e sem lacunas não documentadas</t>
  </si>
  <si>
    <t xml:space="preserve">Conduzir o debrief</t>
  </si>
  <si>
    <t xml:space="preserve">Reconstruir a cronologia completa, avaliar falhas de contenção e tempo de resposta, e registrar lições aprendidas</t>
  </si>
  <si>
    <t xml:space="preserve">Resposta técnica encerrada</t>
  </si>
  <si>
    <t xml:space="preserve">Ata de debrief com participantes e decisões</t>
  </si>
  <si>
    <t xml:space="preserve">Debrief realizado em 20/10/2026 às 14h00; decisão D-04 registrada</t>
  </si>
  <si>
    <t xml:space="preserve">Debrief realizado com plano de ação corretiva registrado</t>
  </si>
  <si>
    <t xml:space="preserve">Autorizar encerramento condicionado</t>
  </si>
  <si>
    <t xml:space="preserve">Obter decisão explícita e atribuível de saída do loop, mantendo pendências regulatórias em acompanhamento quando houver</t>
  </si>
  <si>
    <t xml:space="preserve">Riscos residuais e pendências documentados</t>
  </si>
  <si>
    <t xml:space="preserve">Líder IR (aprovado por CISO)</t>
  </si>
  <si>
    <t xml:space="preserve">Registro de decisão de encerramento (ID da decisão)</t>
  </si>
  <si>
    <t xml:space="preserve">Encerramento condicionado autorizado; pendências regulatórias (comunicações) mantidas em acompanhamento</t>
  </si>
  <si>
    <t xml:space="preserve">Decisão de encerramento registrada e vinculada a riscos residuais aceitos</t>
  </si>
  <si>
    <t xml:space="preserve">Contenção</t>
  </si>
  <si>
    <t xml:space="preserve">Crítica</t>
  </si>
  <si>
    <t xml:space="preserve">Token revogado às 11h05 (E07) e testado — uso posterior confirmado como inválido</t>
  </si>
  <si>
    <t xml:space="preserve">Alta</t>
  </si>
  <si>
    <t xml:space="preserve">Teste de uso do token revogado confirmou inefetividade de novo acesso pelo mecanismo conhecido</t>
  </si>
</sst>
</file>

<file path=xl/styles.xml><?xml version="1.0" encoding="utf-8"?>
<styleSheet xmlns="http://schemas.openxmlformats.org/spreadsheetml/2006/main">
  <numFmts count="2">
    <numFmt numFmtId="164" formatCode="General"/>
    <numFmt numFmtId="165" formatCode="dd/mm/yyyy"/>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1"/>
      <color rgb="FF7F7F7F"/>
      <name val="Calibri"/>
      <family val="0"/>
      <charset val="1"/>
    </font>
    <font>
      <b val="true"/>
      <sz val="10"/>
      <color rgb="FFC00000"/>
      <name val="Calibri"/>
      <family val="0"/>
      <charset val="1"/>
    </font>
    <font>
      <i val="true"/>
      <sz val="10"/>
      <color rgb="FFC00000"/>
      <name val="Calibri"/>
      <family val="0"/>
      <charset val="1"/>
    </font>
    <font>
      <b val="true"/>
      <sz val="10"/>
      <color rgb="FF1F3864"/>
      <name val="Calibri"/>
      <family val="0"/>
      <charset val="1"/>
    </font>
    <font>
      <sz val="10"/>
      <color rgb="FF000000"/>
      <name val="Calibri"/>
      <family val="0"/>
      <charset val="1"/>
    </font>
    <font>
      <b val="true"/>
      <sz val="10"/>
      <color rgb="FFFFFFFF"/>
      <name val="Calibri"/>
      <family val="0"/>
      <charset val="1"/>
    </font>
  </fonts>
  <fills count="6">
    <fill>
      <patternFill patternType="none"/>
    </fill>
    <fill>
      <patternFill patternType="gray125"/>
    </fill>
    <fill>
      <patternFill patternType="solid">
        <fgColor rgb="FF1F3864"/>
        <bgColor rgb="FF333333"/>
      </patternFill>
    </fill>
    <fill>
      <patternFill patternType="solid">
        <fgColor rgb="FFC00000"/>
        <bgColor rgb="FF800000"/>
      </patternFill>
    </fill>
    <fill>
      <patternFill patternType="solid">
        <fgColor rgb="FFEDEDED"/>
        <bgColor rgb="FFFFFDE7"/>
      </patternFill>
    </fill>
    <fill>
      <patternFill patternType="solid">
        <fgColor rgb="FFFFFDE7"/>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1"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5" fontId="9" fillId="5"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DE7"/>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00"/>
  </cols>
  <sheetData>
    <row r="1" customFormat="false" ht="33.75" hidden="false" customHeight="true" outlineLevel="0" collapsed="false">
      <c r="A1" s="2" t="s">
        <v>0</v>
      </c>
      <c r="B1" s="2"/>
    </row>
    <row r="2" customFormat="false" ht="15" hidden="false" customHeight="true" outlineLevel="0" collapsed="false">
      <c r="A2" s="3" t="s">
        <v>1</v>
      </c>
      <c r="B2" s="3"/>
    </row>
    <row r="3" customFormat="false" ht="39.75" hidden="false" customHeight="true" outlineLevel="0" collapsed="false">
      <c r="A3" s="4" t="s">
        <v>2</v>
      </c>
      <c r="B3" s="5" t="s">
        <v>3</v>
      </c>
    </row>
    <row r="4" customFormat="false" ht="64.5" hidden="false" customHeight="true" outlineLevel="0" collapsed="false">
      <c r="A4" s="6" t="s">
        <v>4</v>
      </c>
      <c r="B4" s="7" t="s">
        <v>5</v>
      </c>
    </row>
    <row r="5" customFormat="false" ht="64.5" hidden="false" customHeight="true" outlineLevel="0" collapsed="false">
      <c r="A5" s="6" t="s">
        <v>6</v>
      </c>
      <c r="B5" s="7" t="s">
        <v>7</v>
      </c>
    </row>
    <row r="6" customFormat="false" ht="64.5" hidden="false" customHeight="true" outlineLevel="0" collapsed="false">
      <c r="A6" s="6" t="s">
        <v>8</v>
      </c>
      <c r="B6" s="7" t="s">
        <v>9</v>
      </c>
    </row>
    <row r="7" customFormat="false" ht="64.5" hidden="false" customHeight="true" outlineLevel="0" collapsed="false">
      <c r="A7" s="6" t="s">
        <v>10</v>
      </c>
      <c r="B7" s="7" t="s">
        <v>11</v>
      </c>
    </row>
    <row r="8" customFormat="false" ht="64.5" hidden="false" customHeight="true" outlineLevel="0" collapsed="false">
      <c r="A8" s="6" t="s">
        <v>12</v>
      </c>
      <c r="B8" s="7" t="s">
        <v>13</v>
      </c>
    </row>
    <row r="9" customFormat="false" ht="64.5" hidden="false" customHeight="true" outlineLevel="0" collapsed="false">
      <c r="A9" s="6" t="s">
        <v>14</v>
      </c>
      <c r="B9" s="7" t="s">
        <v>15</v>
      </c>
    </row>
    <row r="10" customFormat="false" ht="64.5" hidden="false" customHeight="true" outlineLevel="0" collapsed="false">
      <c r="A10" s="6" t="s">
        <v>16</v>
      </c>
      <c r="B10" s="7" t="s">
        <v>17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20"/>
    <col collapsed="false" customWidth="true" hidden="false" outlineLevel="0" max="4" min="4" style="1" width="16"/>
    <col collapsed="false" customWidth="true" hidden="false" outlineLevel="0" max="6" min="5" style="1" width="18"/>
    <col collapsed="false" customWidth="true" hidden="false" outlineLevel="0" max="7" min="7" style="1" width="20"/>
  </cols>
  <sheetData>
    <row r="1" customFormat="false" ht="33.75" hidden="false" customHeight="true" outlineLevel="0" collapsed="false">
      <c r="A1" s="2" t="s">
        <v>18</v>
      </c>
      <c r="B1" s="2"/>
      <c r="C1" s="2"/>
      <c r="D1" s="2"/>
      <c r="E1" s="2"/>
      <c r="F1" s="2"/>
      <c r="G1" s="2"/>
    </row>
    <row r="2" customFormat="false" ht="18" hidden="false" customHeight="true" outlineLevel="0" collapsed="false">
      <c r="A2" s="8" t="s">
        <v>19</v>
      </c>
      <c r="B2" s="8"/>
      <c r="C2" s="8"/>
      <c r="D2" s="8"/>
      <c r="E2" s="8"/>
      <c r="F2" s="8"/>
      <c r="G2" s="8"/>
    </row>
    <row r="3" customFormat="false" ht="31.5" hidden="false" customHeight="true" outlineLevel="0" collapsed="false">
      <c r="A3" s="9" t="s">
        <v>20</v>
      </c>
      <c r="B3" s="9" t="s">
        <v>21</v>
      </c>
      <c r="C3" s="9" t="s">
        <v>22</v>
      </c>
      <c r="D3" s="9" t="s">
        <v>23</v>
      </c>
      <c r="E3" s="9" t="s">
        <v>24</v>
      </c>
      <c r="F3" s="9" t="s">
        <v>25</v>
      </c>
      <c r="G3" s="9" t="s">
        <v>26</v>
      </c>
    </row>
    <row r="4" customFormat="false" ht="15" hidden="false" customHeight="true" outlineLevel="0" collapsed="false">
      <c r="A4" s="10" t="str">
        <f aca="false">IF(B4="","","CIC-"&amp;TEXT(ROW()-3,"00"))</f>
        <v>CIC-01</v>
      </c>
      <c r="B4" s="11" t="s">
        <v>27</v>
      </c>
      <c r="C4" s="11" t="s">
        <v>28</v>
      </c>
      <c r="D4" s="12" t="n">
        <v>46314</v>
      </c>
      <c r="E4" s="11" t="s">
        <v>29</v>
      </c>
      <c r="F4" s="11"/>
      <c r="G4" s="11" t="s">
        <v>30</v>
      </c>
    </row>
    <row r="5" customFormat="false" ht="15" hidden="false" customHeight="true" outlineLevel="0" collapsed="false">
      <c r="A5" s="10" t="str">
        <f aca="false">IF(B5="","","CIC-"&amp;TEXT(ROW()-3,"00"))</f>
        <v>CIC-02</v>
      </c>
      <c r="B5" s="11" t="s">
        <v>31</v>
      </c>
      <c r="C5" s="11" t="s">
        <v>32</v>
      </c>
      <c r="D5" s="12" t="n">
        <v>46314</v>
      </c>
      <c r="E5" s="11" t="s">
        <v>33</v>
      </c>
      <c r="F5" s="12" t="n">
        <v>46315</v>
      </c>
      <c r="G5" s="11" t="s">
        <v>34</v>
      </c>
    </row>
    <row r="6" customFormat="false" ht="15" hidden="false" customHeight="true" outlineLevel="0" collapsed="false">
      <c r="A6" s="10" t="str">
        <f aca="false">IF(B6="","","CIC-"&amp;TEXT(ROW()-3,"00"))</f>
        <v/>
      </c>
      <c r="B6" s="11"/>
      <c r="C6" s="11"/>
      <c r="D6" s="11"/>
      <c r="E6" s="11"/>
      <c r="F6" s="11"/>
      <c r="G6" s="11"/>
    </row>
    <row r="7" customFormat="false" ht="15" hidden="false" customHeight="true" outlineLevel="0" collapsed="false">
      <c r="A7" s="10" t="str">
        <f aca="false">IF(B7="","","CIC-"&amp;TEXT(ROW()-3,"00"))</f>
        <v/>
      </c>
      <c r="B7" s="11"/>
      <c r="C7" s="11"/>
      <c r="D7" s="11"/>
      <c r="E7" s="11"/>
      <c r="F7" s="11"/>
      <c r="G7" s="11"/>
    </row>
    <row r="8" customFormat="false" ht="15" hidden="false" customHeight="true" outlineLevel="0" collapsed="false">
      <c r="A8" s="10" t="str">
        <f aca="false">IF(B8="","","CIC-"&amp;TEXT(ROW()-3,"00"))</f>
        <v/>
      </c>
      <c r="B8" s="11"/>
      <c r="C8" s="11"/>
      <c r="D8" s="11"/>
      <c r="E8" s="11"/>
      <c r="F8" s="11"/>
      <c r="G8" s="11"/>
    </row>
    <row r="9" customFormat="false" ht="15" hidden="false" customHeight="true" outlineLevel="0" collapsed="false">
      <c r="A9" s="10" t="str">
        <f aca="false">IF(B9="","","CIC-"&amp;TEXT(ROW()-3,"00"))</f>
        <v/>
      </c>
      <c r="B9" s="11"/>
      <c r="C9" s="11"/>
      <c r="D9" s="11"/>
      <c r="E9" s="11"/>
      <c r="F9" s="11"/>
      <c r="G9" s="11"/>
    </row>
    <row r="10" customFormat="false" ht="15" hidden="false" customHeight="true" outlineLevel="0" collapsed="false">
      <c r="A10" s="10" t="str">
        <f aca="false">IF(B10="","","CIC-"&amp;TEXT(ROW()-3,"00"))</f>
        <v/>
      </c>
      <c r="B10" s="11"/>
      <c r="C10" s="11"/>
      <c r="D10" s="11"/>
      <c r="E10" s="11"/>
      <c r="F10" s="11"/>
      <c r="G10" s="11"/>
    </row>
    <row r="11" customFormat="false" ht="15" hidden="false" customHeight="true" outlineLevel="0" collapsed="false">
      <c r="A11" s="10" t="str">
        <f aca="false">IF(B11="","","CIC-"&amp;TEXT(ROW()-3,"00"))</f>
        <v/>
      </c>
      <c r="B11" s="11"/>
      <c r="C11" s="11"/>
      <c r="D11" s="11"/>
      <c r="E11" s="11"/>
      <c r="F11" s="11"/>
      <c r="G11" s="11"/>
    </row>
    <row r="12" customFormat="false" ht="15" hidden="false" customHeight="true" outlineLevel="0" collapsed="false">
      <c r="A12" s="10" t="str">
        <f aca="false">IF(B12="","","CIC-"&amp;TEXT(ROW()-3,"00"))</f>
        <v/>
      </c>
      <c r="B12" s="11"/>
      <c r="C12" s="11"/>
      <c r="D12" s="11"/>
      <c r="E12" s="11"/>
      <c r="F12" s="11"/>
      <c r="G12" s="11"/>
    </row>
    <row r="13" customFormat="false" ht="15" hidden="false" customHeight="true" outlineLevel="0" collapsed="false">
      <c r="A13" s="10" t="str">
        <f aca="false">IF(B13="","","CIC-"&amp;TEXT(ROW()-3,"00"))</f>
        <v/>
      </c>
      <c r="B13" s="11"/>
      <c r="C13" s="11"/>
      <c r="D13" s="11"/>
      <c r="E13" s="11"/>
      <c r="F13" s="11"/>
      <c r="G13" s="11"/>
    </row>
    <row r="14" customFormat="false" ht="15" hidden="false" customHeight="true" outlineLevel="0" collapsed="false">
      <c r="A14" s="10" t="str">
        <f aca="false">IF(B14="","","CIC-"&amp;TEXT(ROW()-3,"00"))</f>
        <v/>
      </c>
      <c r="B14" s="11"/>
      <c r="C14" s="11"/>
      <c r="D14" s="11"/>
      <c r="E14" s="11"/>
      <c r="F14" s="11"/>
      <c r="G14" s="11"/>
    </row>
    <row r="15" customFormat="false" ht="15" hidden="false" customHeight="true" outlineLevel="0" collapsed="false">
      <c r="A15" s="10" t="str">
        <f aca="false">IF(B15="","","CIC-"&amp;TEXT(ROW()-3,"00"))</f>
        <v/>
      </c>
      <c r="B15" s="11"/>
      <c r="C15" s="11"/>
      <c r="D15" s="11"/>
      <c r="E15" s="11"/>
      <c r="F15" s="11"/>
      <c r="G15" s="11"/>
    </row>
  </sheetData>
  <mergeCells count="2">
    <mergeCell ref="A1:G1"/>
    <mergeCell ref="A2:G2"/>
  </mergeCells>
  <dataValidations count="12">
    <dataValidation allowBlank="true" error="Valor fora da lista permitida." errorStyle="stop" errorTitle="Entrada inválida" operator="between" prompt="Escolha um valor da lista." promptTitle="Selecione" showDropDown="false" showErrorMessage="false" showInputMessage="false" sqref="G4"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5"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6"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7"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8"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9"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10"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11"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12"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13"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14" type="list">
      <formula1>"Aberto,Encerrado,Reaberto"</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G15" type="list">
      <formula1>"Aberto,Encerrado,Reaberto"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14"/>
    <col collapsed="false" customWidth="true" hidden="false" outlineLevel="0" max="4" min="4" style="1" width="22"/>
    <col collapsed="false" customWidth="true" hidden="false" outlineLevel="0" max="5" min="5" style="1" width="32"/>
    <col collapsed="false" customWidth="true" hidden="false" outlineLevel="0" max="6" min="6" style="1" width="26"/>
    <col collapsed="false" customWidth="true" hidden="false" outlineLevel="0" max="7" min="7" style="1" width="16"/>
    <col collapsed="false" customWidth="true" hidden="false" outlineLevel="0" max="8" min="8" style="1" width="10"/>
    <col collapsed="false" customWidth="true" hidden="false" outlineLevel="0" max="9" min="9" style="1" width="14"/>
    <col collapsed="false" customWidth="true" hidden="false" outlineLevel="0" max="10" min="10" style="1" width="20"/>
    <col collapsed="false" customWidth="true" hidden="false" outlineLevel="0" max="11" min="11" style="1" width="24"/>
    <col collapsed="false" customWidth="true" hidden="false" outlineLevel="0" max="12" min="12" style="1" width="16"/>
    <col collapsed="false" customWidth="true" hidden="false" outlineLevel="0" max="13" min="13" style="1" width="24"/>
    <col collapsed="false" customWidth="true" hidden="false" outlineLevel="0" max="14" min="14" style="1" width="26"/>
    <col collapsed="false" customWidth="true" hidden="false" outlineLevel="0" max="15" min="15" style="1" width="14"/>
    <col collapsed="false" customWidth="true" hidden="false" outlineLevel="0" max="16" min="16" style="1" width="20"/>
  </cols>
  <sheetData>
    <row r="1" customFormat="false" ht="33.75" hidden="false" customHeight="true" outlineLevel="0" collapsed="false">
      <c r="A1" s="2" t="s">
        <v>35</v>
      </c>
      <c r="B1" s="2"/>
      <c r="C1" s="2"/>
      <c r="D1" s="2"/>
      <c r="E1" s="2"/>
      <c r="F1" s="2"/>
      <c r="G1" s="2"/>
      <c r="H1" s="2"/>
      <c r="I1" s="2"/>
      <c r="J1" s="2"/>
      <c r="K1" s="2"/>
      <c r="L1" s="2"/>
      <c r="M1" s="2"/>
      <c r="N1" s="2"/>
      <c r="O1" s="2"/>
      <c r="P1" s="2"/>
    </row>
    <row r="2" customFormat="false" ht="18" hidden="false" customHeight="true" outlineLevel="0" collapsed="false">
      <c r="A2" s="8" t="s">
        <v>19</v>
      </c>
      <c r="B2" s="8"/>
      <c r="C2" s="8"/>
      <c r="D2" s="8"/>
      <c r="E2" s="8"/>
      <c r="F2" s="8"/>
      <c r="G2" s="8"/>
      <c r="H2" s="8"/>
      <c r="I2" s="8"/>
      <c r="J2" s="8"/>
      <c r="K2" s="8"/>
      <c r="L2" s="8"/>
      <c r="M2" s="8"/>
      <c r="N2" s="8"/>
      <c r="O2" s="8"/>
      <c r="P2" s="8"/>
    </row>
    <row r="3" customFormat="false" ht="31.5" hidden="false" customHeight="true" outlineLevel="0" collapsed="false">
      <c r="A3" s="9" t="s">
        <v>36</v>
      </c>
      <c r="B3" s="9" t="s">
        <v>37</v>
      </c>
      <c r="C3" s="9" t="s">
        <v>38</v>
      </c>
      <c r="D3" s="9" t="s">
        <v>39</v>
      </c>
      <c r="E3" s="9" t="s">
        <v>40</v>
      </c>
      <c r="F3" s="9" t="s">
        <v>41</v>
      </c>
      <c r="G3" s="9" t="s">
        <v>42</v>
      </c>
      <c r="H3" s="9" t="s">
        <v>43</v>
      </c>
      <c r="I3" s="9" t="s">
        <v>44</v>
      </c>
      <c r="J3" s="9" t="s">
        <v>45</v>
      </c>
      <c r="K3" s="9" t="s">
        <v>46</v>
      </c>
      <c r="L3" s="9" t="s">
        <v>47</v>
      </c>
      <c r="M3" s="9" t="s">
        <v>48</v>
      </c>
      <c r="N3" s="9" t="s">
        <v>49</v>
      </c>
      <c r="O3" s="9" t="s">
        <v>50</v>
      </c>
      <c r="P3" s="9" t="s">
        <v>51</v>
      </c>
    </row>
    <row r="4" customFormat="false" ht="34.5" hidden="false" customHeight="true" outlineLevel="0" collapsed="false">
      <c r="A4" s="10" t="str">
        <f aca="false">IF(E4="","","CHK-"&amp;TEXT(ROW()-3,"000"))</f>
        <v>CHK-001</v>
      </c>
      <c r="B4" s="11"/>
      <c r="C4" s="13" t="s">
        <v>52</v>
      </c>
      <c r="D4" s="13" t="s">
        <v>53</v>
      </c>
      <c r="E4" s="13" t="s">
        <v>54</v>
      </c>
      <c r="F4" s="13" t="s">
        <v>55</v>
      </c>
      <c r="G4" s="11" t="s">
        <v>56</v>
      </c>
      <c r="H4" s="11"/>
      <c r="I4" s="11" t="s">
        <v>57</v>
      </c>
      <c r="J4" s="11" t="s">
        <v>58</v>
      </c>
      <c r="K4" s="13" t="s">
        <v>59</v>
      </c>
      <c r="L4" s="11"/>
      <c r="M4" s="11" t="s">
        <v>60</v>
      </c>
      <c r="N4" s="13" t="s">
        <v>61</v>
      </c>
      <c r="O4" s="13" t="s">
        <v>62</v>
      </c>
      <c r="P4" s="11" t="s">
        <v>63</v>
      </c>
    </row>
    <row r="5" customFormat="false" ht="34.5" hidden="false" customHeight="true" outlineLevel="0" collapsed="false">
      <c r="A5" s="10" t="str">
        <f aca="false">IF(E5="","","CHK-"&amp;TEXT(ROW()-3,"000"))</f>
        <v>CHK-002</v>
      </c>
      <c r="B5" s="11"/>
      <c r="C5" s="13" t="s">
        <v>52</v>
      </c>
      <c r="D5" s="13" t="s">
        <v>53</v>
      </c>
      <c r="E5" s="13" t="s">
        <v>64</v>
      </c>
      <c r="F5" s="13" t="s">
        <v>65</v>
      </c>
      <c r="G5" s="11" t="s">
        <v>66</v>
      </c>
      <c r="H5" s="11"/>
      <c r="I5" s="11" t="s">
        <v>57</v>
      </c>
      <c r="J5" s="11" t="s">
        <v>58</v>
      </c>
      <c r="K5" s="13" t="s">
        <v>67</v>
      </c>
      <c r="L5" s="11"/>
      <c r="M5" s="11" t="s">
        <v>68</v>
      </c>
      <c r="N5" s="13" t="s">
        <v>69</v>
      </c>
      <c r="O5" s="13" t="s">
        <v>63</v>
      </c>
      <c r="P5" s="11" t="s">
        <v>63</v>
      </c>
    </row>
    <row r="6" customFormat="false" ht="23.25" hidden="false" customHeight="true" outlineLevel="0" collapsed="false">
      <c r="A6" s="10" t="str">
        <f aca="false">IF(E6="","","CHK-"&amp;TEXT(ROW()-3,"000"))</f>
        <v>CHK-003</v>
      </c>
      <c r="B6" s="11" t="s">
        <v>70</v>
      </c>
      <c r="C6" s="13" t="s">
        <v>71</v>
      </c>
      <c r="D6" s="13" t="s">
        <v>72</v>
      </c>
      <c r="E6" s="13" t="s">
        <v>73</v>
      </c>
      <c r="F6" s="13" t="s">
        <v>74</v>
      </c>
      <c r="G6" s="11" t="s">
        <v>75</v>
      </c>
      <c r="H6" s="11"/>
      <c r="I6" s="11" t="s">
        <v>57</v>
      </c>
      <c r="J6" s="11" t="s">
        <v>58</v>
      </c>
      <c r="K6" s="13" t="s">
        <v>76</v>
      </c>
      <c r="L6" s="11" t="s">
        <v>77</v>
      </c>
      <c r="M6" s="11" t="s">
        <v>78</v>
      </c>
      <c r="N6" s="13" t="s">
        <v>79</v>
      </c>
      <c r="O6" s="13" t="s">
        <v>62</v>
      </c>
      <c r="P6" s="11" t="s">
        <v>63</v>
      </c>
    </row>
    <row r="7" customFormat="false" ht="34.5" hidden="false" customHeight="true" outlineLevel="0" collapsed="false">
      <c r="A7" s="10" t="str">
        <f aca="false">IF(E7="","","CHK-"&amp;TEXT(ROW()-3,"000"))</f>
        <v>CHK-004</v>
      </c>
      <c r="B7" s="11" t="s">
        <v>70</v>
      </c>
      <c r="C7" s="13" t="s">
        <v>80</v>
      </c>
      <c r="D7" s="13" t="s">
        <v>81</v>
      </c>
      <c r="E7" s="13" t="s">
        <v>82</v>
      </c>
      <c r="F7" s="13" t="s">
        <v>83</v>
      </c>
      <c r="G7" s="11" t="s">
        <v>84</v>
      </c>
      <c r="H7" s="11"/>
      <c r="I7" s="11" t="s">
        <v>57</v>
      </c>
      <c r="J7" s="11" t="s">
        <v>85</v>
      </c>
      <c r="K7" s="13" t="s">
        <v>86</v>
      </c>
      <c r="L7" s="11" t="s">
        <v>87</v>
      </c>
      <c r="M7" s="11" t="s">
        <v>88</v>
      </c>
      <c r="N7" s="13" t="s">
        <v>89</v>
      </c>
      <c r="O7" s="13" t="s">
        <v>90</v>
      </c>
      <c r="P7" s="11" t="s">
        <v>63</v>
      </c>
    </row>
    <row r="8" customFormat="false" ht="34.5" hidden="false" customHeight="true" outlineLevel="0" collapsed="false">
      <c r="A8" s="10" t="str">
        <f aca="false">IF(E8="","","CHK-"&amp;TEXT(ROW()-3,"000"))</f>
        <v>CHK-005</v>
      </c>
      <c r="B8" s="11" t="s">
        <v>70</v>
      </c>
      <c r="C8" s="13" t="s">
        <v>80</v>
      </c>
      <c r="D8" s="13" t="s">
        <v>91</v>
      </c>
      <c r="E8" s="13" t="s">
        <v>92</v>
      </c>
      <c r="F8" s="13" t="s">
        <v>93</v>
      </c>
      <c r="G8" s="11" t="s">
        <v>94</v>
      </c>
      <c r="H8" s="11"/>
      <c r="I8" s="11" t="s">
        <v>57</v>
      </c>
      <c r="J8" s="11" t="s">
        <v>58</v>
      </c>
      <c r="K8" s="13" t="s">
        <v>95</v>
      </c>
      <c r="L8" s="11" t="s">
        <v>87</v>
      </c>
      <c r="M8" s="11" t="s">
        <v>96</v>
      </c>
      <c r="N8" s="13" t="s">
        <v>97</v>
      </c>
      <c r="O8" s="13" t="s">
        <v>90</v>
      </c>
      <c r="P8" s="11" t="s">
        <v>63</v>
      </c>
    </row>
    <row r="9" customFormat="false" ht="23.25" hidden="false" customHeight="true" outlineLevel="0" collapsed="false">
      <c r="A9" s="10" t="str">
        <f aca="false">IF(E9="","","CHK-"&amp;TEXT(ROW()-3,"000"))</f>
        <v>CHK-006</v>
      </c>
      <c r="B9" s="11" t="s">
        <v>70</v>
      </c>
      <c r="C9" s="13" t="s">
        <v>80</v>
      </c>
      <c r="D9" s="13" t="s">
        <v>98</v>
      </c>
      <c r="E9" s="13" t="s">
        <v>99</v>
      </c>
      <c r="F9" s="13" t="s">
        <v>100</v>
      </c>
      <c r="G9" s="11" t="s">
        <v>56</v>
      </c>
      <c r="H9" s="11"/>
      <c r="I9" s="11" t="s">
        <v>57</v>
      </c>
      <c r="J9" s="11" t="s">
        <v>58</v>
      </c>
      <c r="K9" s="13" t="s">
        <v>101</v>
      </c>
      <c r="L9" s="11"/>
      <c r="M9" s="11" t="s">
        <v>102</v>
      </c>
      <c r="N9" s="13" t="s">
        <v>103</v>
      </c>
      <c r="O9" s="13" t="s">
        <v>90</v>
      </c>
      <c r="P9" s="11" t="s">
        <v>63</v>
      </c>
    </row>
    <row r="10" customFormat="false" ht="34.5" hidden="false" customHeight="true" outlineLevel="0" collapsed="false">
      <c r="A10" s="10" t="str">
        <f aca="false">IF(E10="","","CHK-"&amp;TEXT(ROW()-3,"000"))</f>
        <v>CHK-007</v>
      </c>
      <c r="B10" s="11" t="s">
        <v>70</v>
      </c>
      <c r="C10" s="13" t="s">
        <v>104</v>
      </c>
      <c r="D10" s="13" t="s">
        <v>105</v>
      </c>
      <c r="E10" s="13" t="s">
        <v>106</v>
      </c>
      <c r="F10" s="13" t="s">
        <v>107</v>
      </c>
      <c r="G10" s="11" t="s">
        <v>84</v>
      </c>
      <c r="H10" s="11"/>
      <c r="I10" s="11" t="s">
        <v>57</v>
      </c>
      <c r="J10" s="11" t="s">
        <v>58</v>
      </c>
      <c r="K10" s="13" t="s">
        <v>108</v>
      </c>
      <c r="L10" s="11" t="s">
        <v>87</v>
      </c>
      <c r="M10" s="11" t="s">
        <v>109</v>
      </c>
      <c r="N10" s="13" t="s">
        <v>110</v>
      </c>
      <c r="O10" s="13" t="s">
        <v>90</v>
      </c>
      <c r="P10" s="11" t="s">
        <v>63</v>
      </c>
    </row>
    <row r="11" customFormat="false" ht="34.5" hidden="false" customHeight="true" outlineLevel="0" collapsed="false">
      <c r="A11" s="10" t="str">
        <f aca="false">IF(E11="","","CHK-"&amp;TEXT(ROW()-3,"000"))</f>
        <v>CHK-008</v>
      </c>
      <c r="B11" s="11" t="s">
        <v>111</v>
      </c>
      <c r="C11" s="13" t="s">
        <v>104</v>
      </c>
      <c r="D11" s="13" t="s">
        <v>112</v>
      </c>
      <c r="E11" s="13" t="s">
        <v>113</v>
      </c>
      <c r="F11" s="13" t="s">
        <v>114</v>
      </c>
      <c r="G11" s="11" t="s">
        <v>84</v>
      </c>
      <c r="H11" s="11"/>
      <c r="I11" s="11" t="s">
        <v>57</v>
      </c>
      <c r="J11" s="11" t="s">
        <v>58</v>
      </c>
      <c r="K11" s="13" t="s">
        <v>115</v>
      </c>
      <c r="L11" s="11" t="s">
        <v>116</v>
      </c>
      <c r="M11" s="11" t="s">
        <v>117</v>
      </c>
      <c r="N11" s="13" t="s">
        <v>118</v>
      </c>
      <c r="O11" s="13" t="s">
        <v>90</v>
      </c>
      <c r="P11" s="11" t="s">
        <v>119</v>
      </c>
    </row>
    <row r="12" customFormat="false" ht="34.5" hidden="false" customHeight="true" outlineLevel="0" collapsed="false">
      <c r="A12" s="10" t="str">
        <f aca="false">IF(E12="","","CHK-"&amp;TEXT(ROW()-3,"000"))</f>
        <v>CHK-009</v>
      </c>
      <c r="B12" s="11" t="s">
        <v>70</v>
      </c>
      <c r="C12" s="13" t="s">
        <v>120</v>
      </c>
      <c r="D12" s="13" t="s">
        <v>121</v>
      </c>
      <c r="E12" s="13" t="s">
        <v>122</v>
      </c>
      <c r="F12" s="13" t="s">
        <v>123</v>
      </c>
      <c r="G12" s="11" t="s">
        <v>124</v>
      </c>
      <c r="H12" s="11"/>
      <c r="I12" s="11" t="s">
        <v>57</v>
      </c>
      <c r="J12" s="11" t="s">
        <v>85</v>
      </c>
      <c r="K12" s="13" t="s">
        <v>125</v>
      </c>
      <c r="L12" s="11" t="s">
        <v>126</v>
      </c>
      <c r="M12" s="11" t="s">
        <v>127</v>
      </c>
      <c r="N12" s="13" t="s">
        <v>128</v>
      </c>
      <c r="O12" s="13" t="s">
        <v>63</v>
      </c>
      <c r="P12" s="11" t="s">
        <v>63</v>
      </c>
    </row>
    <row r="13" customFormat="false" ht="34.5" hidden="false" customHeight="true" outlineLevel="0" collapsed="false">
      <c r="A13" s="10" t="str">
        <f aca="false">IF(E13="","","CHK-"&amp;TEXT(ROW()-3,"000"))</f>
        <v>CHK-010</v>
      </c>
      <c r="B13" s="11" t="s">
        <v>70</v>
      </c>
      <c r="C13" s="13" t="s">
        <v>120</v>
      </c>
      <c r="D13" s="13" t="s">
        <v>129</v>
      </c>
      <c r="E13" s="13" t="s">
        <v>130</v>
      </c>
      <c r="F13" s="13" t="s">
        <v>123</v>
      </c>
      <c r="G13" s="11" t="s">
        <v>124</v>
      </c>
      <c r="H13" s="11"/>
      <c r="I13" s="11" t="s">
        <v>131</v>
      </c>
      <c r="J13" s="11" t="s">
        <v>132</v>
      </c>
      <c r="K13" s="13" t="s">
        <v>133</v>
      </c>
      <c r="L13" s="11"/>
      <c r="M13" s="11" t="s">
        <v>134</v>
      </c>
      <c r="N13" s="13" t="s">
        <v>135</v>
      </c>
      <c r="O13" s="13" t="s">
        <v>63</v>
      </c>
      <c r="P13" s="11" t="s">
        <v>136</v>
      </c>
    </row>
    <row r="14" customFormat="false" ht="45.75" hidden="false" customHeight="true" outlineLevel="0" collapsed="false">
      <c r="A14" s="10" t="str">
        <f aca="false">IF(E14="","","CHK-"&amp;TEXT(ROW()-3,"000"))</f>
        <v>CHK-011</v>
      </c>
      <c r="B14" s="11" t="s">
        <v>70</v>
      </c>
      <c r="C14" s="13" t="s">
        <v>120</v>
      </c>
      <c r="D14" s="13" t="s">
        <v>137</v>
      </c>
      <c r="E14" s="13" t="s">
        <v>138</v>
      </c>
      <c r="F14" s="13" t="s">
        <v>139</v>
      </c>
      <c r="G14" s="11" t="s">
        <v>124</v>
      </c>
      <c r="H14" s="11"/>
      <c r="I14" s="11" t="s">
        <v>57</v>
      </c>
      <c r="J14" s="11" t="s">
        <v>140</v>
      </c>
      <c r="K14" s="13" t="s">
        <v>141</v>
      </c>
      <c r="L14" s="11" t="s">
        <v>126</v>
      </c>
      <c r="M14" s="11" t="s">
        <v>142</v>
      </c>
      <c r="N14" s="13" t="s">
        <v>143</v>
      </c>
      <c r="O14" s="13" t="s">
        <v>90</v>
      </c>
      <c r="P14" s="11" t="s">
        <v>136</v>
      </c>
    </row>
    <row r="15" customFormat="false" ht="45.75" hidden="false" customHeight="true" outlineLevel="0" collapsed="false">
      <c r="A15" s="10" t="str">
        <f aca="false">IF(E15="","","CHK-"&amp;TEXT(ROW()-3,"000"))</f>
        <v>CHK-012</v>
      </c>
      <c r="B15" s="11" t="s">
        <v>111</v>
      </c>
      <c r="C15" s="13" t="s">
        <v>120</v>
      </c>
      <c r="D15" s="13" t="s">
        <v>144</v>
      </c>
      <c r="E15" s="13" t="s">
        <v>145</v>
      </c>
      <c r="F15" s="13" t="s">
        <v>146</v>
      </c>
      <c r="G15" s="11" t="s">
        <v>84</v>
      </c>
      <c r="H15" s="11"/>
      <c r="I15" s="11" t="s">
        <v>57</v>
      </c>
      <c r="J15" s="11" t="s">
        <v>140</v>
      </c>
      <c r="K15" s="13" t="s">
        <v>147</v>
      </c>
      <c r="L15" s="11" t="s">
        <v>148</v>
      </c>
      <c r="M15" s="11" t="s">
        <v>149</v>
      </c>
      <c r="N15" s="13" t="s">
        <v>150</v>
      </c>
      <c r="O15" s="13" t="s">
        <v>90</v>
      </c>
      <c r="P15" s="11" t="s">
        <v>63</v>
      </c>
    </row>
    <row r="16" customFormat="false" ht="34.5" hidden="false" customHeight="true" outlineLevel="0" collapsed="false">
      <c r="A16" s="10" t="str">
        <f aca="false">IF(E16="","","CHK-"&amp;TEXT(ROW()-3,"000"))</f>
        <v>CHK-013</v>
      </c>
      <c r="B16" s="11" t="s">
        <v>111</v>
      </c>
      <c r="C16" s="13" t="s">
        <v>151</v>
      </c>
      <c r="D16" s="13" t="s">
        <v>152</v>
      </c>
      <c r="E16" s="13" t="s">
        <v>153</v>
      </c>
      <c r="F16" s="13" t="s">
        <v>154</v>
      </c>
      <c r="G16" s="11" t="s">
        <v>155</v>
      </c>
      <c r="H16" s="11"/>
      <c r="I16" s="11" t="s">
        <v>57</v>
      </c>
      <c r="J16" s="11" t="s">
        <v>85</v>
      </c>
      <c r="K16" s="13" t="s">
        <v>156</v>
      </c>
      <c r="L16" s="11" t="s">
        <v>157</v>
      </c>
      <c r="M16" s="11" t="s">
        <v>158</v>
      </c>
      <c r="N16" s="13" t="s">
        <v>159</v>
      </c>
      <c r="O16" s="13" t="s">
        <v>63</v>
      </c>
      <c r="P16" s="11" t="s">
        <v>63</v>
      </c>
    </row>
    <row r="17" customFormat="false" ht="34.5" hidden="false" customHeight="true" outlineLevel="0" collapsed="false">
      <c r="A17" s="10" t="str">
        <f aca="false">IF(E17="","","CHK-"&amp;TEXT(ROW()-3,"000"))</f>
        <v>CHK-014</v>
      </c>
      <c r="B17" s="11" t="s">
        <v>111</v>
      </c>
      <c r="C17" s="13" t="s">
        <v>151</v>
      </c>
      <c r="D17" s="13" t="s">
        <v>160</v>
      </c>
      <c r="E17" s="13" t="s">
        <v>161</v>
      </c>
      <c r="F17" s="13" t="s">
        <v>162</v>
      </c>
      <c r="G17" s="11" t="s">
        <v>84</v>
      </c>
      <c r="H17" s="11"/>
      <c r="I17" s="11" t="s">
        <v>57</v>
      </c>
      <c r="J17" s="11" t="s">
        <v>58</v>
      </c>
      <c r="K17" s="13" t="s">
        <v>163</v>
      </c>
      <c r="L17" s="11" t="s">
        <v>148</v>
      </c>
      <c r="M17" s="11" t="s">
        <v>164</v>
      </c>
      <c r="N17" s="13" t="s">
        <v>165</v>
      </c>
      <c r="O17" s="13" t="s">
        <v>62</v>
      </c>
      <c r="P17" s="11" t="s">
        <v>63</v>
      </c>
    </row>
    <row r="18" customFormat="false" ht="34.5" hidden="false" customHeight="true" outlineLevel="0" collapsed="false">
      <c r="A18" s="10" t="str">
        <f aca="false">IF(E18="","","CHK-"&amp;TEXT(ROW()-3,"000"))</f>
        <v>CHK-015</v>
      </c>
      <c r="B18" s="11" t="s">
        <v>70</v>
      </c>
      <c r="C18" s="13" t="s">
        <v>166</v>
      </c>
      <c r="D18" s="13" t="s">
        <v>167</v>
      </c>
      <c r="E18" s="13" t="s">
        <v>168</v>
      </c>
      <c r="F18" s="13" t="s">
        <v>169</v>
      </c>
      <c r="G18" s="11" t="s">
        <v>170</v>
      </c>
      <c r="H18" s="11"/>
      <c r="I18" s="11" t="s">
        <v>57</v>
      </c>
      <c r="J18" s="11" t="s">
        <v>140</v>
      </c>
      <c r="K18" s="13" t="s">
        <v>171</v>
      </c>
      <c r="L18" s="11"/>
      <c r="M18" s="11" t="s">
        <v>172</v>
      </c>
      <c r="N18" s="13" t="s">
        <v>173</v>
      </c>
      <c r="O18" s="13" t="s">
        <v>63</v>
      </c>
      <c r="P18" s="11" t="s">
        <v>63</v>
      </c>
    </row>
    <row r="19" customFormat="false" ht="23.25" hidden="false" customHeight="true" outlineLevel="0" collapsed="false">
      <c r="A19" s="10" t="str">
        <f aca="false">IF(E19="","","CHK-"&amp;TEXT(ROW()-3,"000"))</f>
        <v>CHK-016</v>
      </c>
      <c r="B19" s="11" t="s">
        <v>111</v>
      </c>
      <c r="C19" s="13" t="s">
        <v>166</v>
      </c>
      <c r="D19" s="13" t="s">
        <v>174</v>
      </c>
      <c r="E19" s="13" t="s">
        <v>175</v>
      </c>
      <c r="F19" s="13" t="s">
        <v>176</v>
      </c>
      <c r="G19" s="11" t="s">
        <v>75</v>
      </c>
      <c r="H19" s="11"/>
      <c r="I19" s="11" t="s">
        <v>177</v>
      </c>
      <c r="J19" s="11" t="s">
        <v>132</v>
      </c>
      <c r="K19" s="13" t="s">
        <v>178</v>
      </c>
      <c r="L19" s="11"/>
      <c r="M19" s="11" t="s">
        <v>179</v>
      </c>
      <c r="N19" s="13" t="s">
        <v>180</v>
      </c>
      <c r="O19" s="13" t="s">
        <v>63</v>
      </c>
      <c r="P19" s="11" t="s">
        <v>63</v>
      </c>
    </row>
    <row r="20" customFormat="false" ht="34.5" hidden="false" customHeight="true" outlineLevel="0" collapsed="false">
      <c r="A20" s="10" t="str">
        <f aca="false">IF(E20="","","CHK-"&amp;TEXT(ROW()-3,"000"))</f>
        <v>CHK-017</v>
      </c>
      <c r="B20" s="11" t="s">
        <v>111</v>
      </c>
      <c r="C20" s="13" t="s">
        <v>166</v>
      </c>
      <c r="D20" s="13" t="s">
        <v>181</v>
      </c>
      <c r="E20" s="13" t="s">
        <v>182</v>
      </c>
      <c r="F20" s="13" t="s">
        <v>183</v>
      </c>
      <c r="G20" s="11" t="s">
        <v>94</v>
      </c>
      <c r="H20" s="11"/>
      <c r="I20" s="11" t="s">
        <v>57</v>
      </c>
      <c r="J20" s="11" t="s">
        <v>58</v>
      </c>
      <c r="K20" s="13" t="s">
        <v>184</v>
      </c>
      <c r="L20" s="11"/>
      <c r="M20" s="11" t="s">
        <v>185</v>
      </c>
      <c r="N20" s="13" t="s">
        <v>186</v>
      </c>
      <c r="O20" s="13" t="s">
        <v>90</v>
      </c>
      <c r="P20" s="11" t="s">
        <v>63</v>
      </c>
    </row>
    <row r="21" customFormat="false" ht="34.5" hidden="false" customHeight="true" outlineLevel="0" collapsed="false">
      <c r="A21" s="10" t="str">
        <f aca="false">IF(E21="","","CHK-"&amp;TEXT(ROW()-3,"000"))</f>
        <v>CHK-018</v>
      </c>
      <c r="B21" s="11"/>
      <c r="C21" s="13" t="s">
        <v>187</v>
      </c>
      <c r="D21" s="13" t="s">
        <v>188</v>
      </c>
      <c r="E21" s="13" t="s">
        <v>189</v>
      </c>
      <c r="F21" s="13" t="s">
        <v>190</v>
      </c>
      <c r="G21" s="11" t="s">
        <v>84</v>
      </c>
      <c r="H21" s="11"/>
      <c r="I21" s="11" t="s">
        <v>57</v>
      </c>
      <c r="J21" s="11" t="s">
        <v>58</v>
      </c>
      <c r="K21" s="13" t="s">
        <v>191</v>
      </c>
      <c r="L21" s="11"/>
      <c r="M21" s="11" t="s">
        <v>192</v>
      </c>
      <c r="N21" s="13" t="s">
        <v>193</v>
      </c>
      <c r="O21" s="13" t="s">
        <v>63</v>
      </c>
      <c r="P21" s="11" t="s">
        <v>63</v>
      </c>
    </row>
    <row r="22" customFormat="false" ht="34.5" hidden="false" customHeight="true" outlineLevel="0" collapsed="false">
      <c r="A22" s="10" t="str">
        <f aca="false">IF(E22="","","CHK-"&amp;TEXT(ROW()-3,"000"))</f>
        <v>CHK-019</v>
      </c>
      <c r="B22" s="11"/>
      <c r="C22" s="13" t="s">
        <v>187</v>
      </c>
      <c r="D22" s="13" t="s">
        <v>194</v>
      </c>
      <c r="E22" s="13" t="s">
        <v>195</v>
      </c>
      <c r="F22" s="13" t="s">
        <v>196</v>
      </c>
      <c r="G22" s="11" t="s">
        <v>56</v>
      </c>
      <c r="H22" s="11"/>
      <c r="I22" s="11" t="s">
        <v>57</v>
      </c>
      <c r="J22" s="11" t="s">
        <v>58</v>
      </c>
      <c r="K22" s="13" t="s">
        <v>197</v>
      </c>
      <c r="L22" s="11"/>
      <c r="M22" s="11" t="s">
        <v>198</v>
      </c>
      <c r="N22" s="13" t="s">
        <v>199</v>
      </c>
      <c r="O22" s="13" t="s">
        <v>90</v>
      </c>
      <c r="P22" s="11" t="s">
        <v>63</v>
      </c>
    </row>
    <row r="23" customFormat="false" ht="45.75" hidden="false" customHeight="true" outlineLevel="0" collapsed="false">
      <c r="A23" s="10" t="str">
        <f aca="false">IF(E23="","","CHK-"&amp;TEXT(ROW()-3,"000"))</f>
        <v>CHK-020</v>
      </c>
      <c r="B23" s="11"/>
      <c r="C23" s="13" t="s">
        <v>187</v>
      </c>
      <c r="D23" s="13" t="s">
        <v>200</v>
      </c>
      <c r="E23" s="13" t="s">
        <v>201</v>
      </c>
      <c r="F23" s="13" t="s">
        <v>202</v>
      </c>
      <c r="G23" s="11" t="s">
        <v>203</v>
      </c>
      <c r="H23" s="11"/>
      <c r="I23" s="11" t="s">
        <v>57</v>
      </c>
      <c r="J23" s="11" t="s">
        <v>140</v>
      </c>
      <c r="K23" s="13" t="s">
        <v>204</v>
      </c>
      <c r="L23" s="11"/>
      <c r="M23" s="11" t="s">
        <v>205</v>
      </c>
      <c r="N23" s="13" t="s">
        <v>206</v>
      </c>
      <c r="O23" s="13" t="s">
        <v>90</v>
      </c>
      <c r="P23" s="11" t="s">
        <v>63</v>
      </c>
    </row>
    <row r="24" customFormat="false" ht="15" hidden="false" customHeight="true" outlineLevel="0" collapsed="false">
      <c r="A24" s="10" t="str">
        <f aca="false">IF(E24="","","CHK-"&amp;TEXT(ROW()-3,"000"))</f>
        <v>CHK-021</v>
      </c>
      <c r="B24" s="11" t="s">
        <v>111</v>
      </c>
      <c r="C24" s="11" t="s">
        <v>120</v>
      </c>
      <c r="D24" s="11" t="s">
        <v>207</v>
      </c>
      <c r="E24" s="11" t="s">
        <v>129</v>
      </c>
      <c r="F24" s="11" t="s">
        <v>123</v>
      </c>
      <c r="G24" s="11" t="s">
        <v>124</v>
      </c>
      <c r="H24" s="11" t="s">
        <v>208</v>
      </c>
      <c r="I24" s="11" t="s">
        <v>57</v>
      </c>
      <c r="J24" s="11" t="s">
        <v>85</v>
      </c>
      <c r="K24" s="11" t="s">
        <v>133</v>
      </c>
      <c r="L24" s="11" t="s">
        <v>157</v>
      </c>
      <c r="M24" s="11" t="s">
        <v>209</v>
      </c>
      <c r="N24" s="11" t="s">
        <v>135</v>
      </c>
      <c r="O24" s="11" t="s">
        <v>63</v>
      </c>
      <c r="P24" s="11" t="s">
        <v>63</v>
      </c>
    </row>
    <row r="25" customFormat="false" ht="15" hidden="false" customHeight="true" outlineLevel="0" collapsed="false">
      <c r="A25" s="10" t="str">
        <f aca="false">IF(E25="","","CHK-"&amp;TEXT(ROW()-3,"000"))</f>
        <v>CHK-022</v>
      </c>
      <c r="B25" s="11" t="s">
        <v>111</v>
      </c>
      <c r="C25" s="11" t="s">
        <v>120</v>
      </c>
      <c r="D25" s="11" t="s">
        <v>207</v>
      </c>
      <c r="E25" s="11" t="s">
        <v>137</v>
      </c>
      <c r="F25" s="11" t="s">
        <v>139</v>
      </c>
      <c r="G25" s="11" t="s">
        <v>124</v>
      </c>
      <c r="H25" s="11" t="s">
        <v>210</v>
      </c>
      <c r="I25" s="11" t="s">
        <v>57</v>
      </c>
      <c r="J25" s="11" t="s">
        <v>85</v>
      </c>
      <c r="K25" s="11" t="s">
        <v>141</v>
      </c>
      <c r="L25" s="11" t="s">
        <v>157</v>
      </c>
      <c r="M25" s="11" t="s">
        <v>211</v>
      </c>
      <c r="N25" s="11" t="s">
        <v>143</v>
      </c>
      <c r="O25" s="11" t="s">
        <v>63</v>
      </c>
      <c r="P25" s="11" t="s">
        <v>63</v>
      </c>
    </row>
    <row r="26" customFormat="false" ht="15" hidden="false" customHeight="true" outlineLevel="0" collapsed="false">
      <c r="A26" s="10" t="str">
        <f aca="false">IF(E26="","","CHK-"&amp;TEXT(ROW()-3,"000"))</f>
        <v/>
      </c>
      <c r="B26" s="11"/>
      <c r="C26" s="11"/>
      <c r="D26" s="11"/>
      <c r="E26" s="11"/>
      <c r="F26" s="11"/>
      <c r="G26" s="11"/>
      <c r="H26" s="11"/>
      <c r="I26" s="11"/>
      <c r="J26" s="11"/>
      <c r="K26" s="11"/>
      <c r="L26" s="11"/>
      <c r="M26" s="11"/>
      <c r="N26" s="11"/>
      <c r="O26" s="11"/>
      <c r="P26" s="11"/>
    </row>
    <row r="27" customFormat="false" ht="15" hidden="false" customHeight="true" outlineLevel="0" collapsed="false">
      <c r="A27" s="10" t="str">
        <f aca="false">IF(E27="","","CHK-"&amp;TEXT(ROW()-3,"000"))</f>
        <v/>
      </c>
      <c r="B27" s="11"/>
      <c r="C27" s="11"/>
      <c r="D27" s="11"/>
      <c r="E27" s="11"/>
      <c r="F27" s="11"/>
      <c r="G27" s="11"/>
      <c r="H27" s="11"/>
      <c r="I27" s="11"/>
      <c r="J27" s="11"/>
      <c r="K27" s="11"/>
      <c r="L27" s="11"/>
      <c r="M27" s="11"/>
      <c r="N27" s="11"/>
      <c r="O27" s="11"/>
      <c r="P27" s="11"/>
    </row>
    <row r="28" customFormat="false" ht="15" hidden="false" customHeight="true" outlineLevel="0" collapsed="false">
      <c r="A28" s="10" t="str">
        <f aca="false">IF(E28="","","CHK-"&amp;TEXT(ROW()-3,"000"))</f>
        <v/>
      </c>
      <c r="B28" s="11"/>
      <c r="C28" s="11"/>
      <c r="D28" s="11"/>
      <c r="E28" s="11"/>
      <c r="F28" s="11"/>
      <c r="G28" s="11"/>
      <c r="H28" s="11"/>
      <c r="I28" s="11"/>
      <c r="J28" s="11"/>
      <c r="K28" s="11"/>
      <c r="L28" s="11"/>
      <c r="M28" s="11"/>
      <c r="N28" s="11"/>
      <c r="O28" s="11"/>
      <c r="P28" s="11"/>
    </row>
    <row r="29" customFormat="false" ht="15" hidden="false" customHeight="true" outlineLevel="0" collapsed="false">
      <c r="A29" s="10" t="str">
        <f aca="false">IF(E29="","","CHK-"&amp;TEXT(ROW()-3,"000"))</f>
        <v/>
      </c>
      <c r="B29" s="11"/>
      <c r="C29" s="11"/>
      <c r="D29" s="11"/>
      <c r="E29" s="11"/>
      <c r="F29" s="11"/>
      <c r="G29" s="11"/>
      <c r="H29" s="11"/>
      <c r="I29" s="11"/>
      <c r="J29" s="11"/>
      <c r="K29" s="11"/>
      <c r="L29" s="11"/>
      <c r="M29" s="11"/>
      <c r="N29" s="11"/>
      <c r="O29" s="11"/>
      <c r="P29" s="11"/>
    </row>
    <row r="30" customFormat="false" ht="15" hidden="false" customHeight="true" outlineLevel="0" collapsed="false">
      <c r="A30" s="10" t="str">
        <f aca="false">IF(E30="","","CHK-"&amp;TEXT(ROW()-3,"000"))</f>
        <v/>
      </c>
      <c r="B30" s="11"/>
      <c r="C30" s="11"/>
      <c r="D30" s="11"/>
      <c r="E30" s="11"/>
      <c r="F30" s="11"/>
      <c r="G30" s="11"/>
      <c r="H30" s="11"/>
      <c r="I30" s="11"/>
      <c r="J30" s="11"/>
      <c r="K30" s="11"/>
      <c r="L30" s="11"/>
      <c r="M30" s="11"/>
      <c r="N30" s="11"/>
      <c r="O30" s="11"/>
      <c r="P30" s="11"/>
    </row>
    <row r="31" customFormat="false" ht="15" hidden="false" customHeight="true" outlineLevel="0" collapsed="false">
      <c r="A31" s="10" t="str">
        <f aca="false">IF(E31="","","CHK-"&amp;TEXT(ROW()-3,"000"))</f>
        <v/>
      </c>
      <c r="B31" s="11"/>
      <c r="C31" s="11"/>
      <c r="D31" s="11"/>
      <c r="E31" s="11"/>
      <c r="F31" s="11"/>
      <c r="G31" s="11"/>
      <c r="H31" s="11"/>
      <c r="I31" s="11"/>
      <c r="J31" s="11"/>
      <c r="K31" s="11"/>
      <c r="L31" s="11"/>
      <c r="M31" s="11"/>
      <c r="N31" s="11"/>
      <c r="O31" s="11"/>
      <c r="P31" s="11"/>
    </row>
    <row r="32" customFormat="false" ht="15" hidden="false" customHeight="true" outlineLevel="0" collapsed="false">
      <c r="A32" s="10" t="str">
        <f aca="false">IF(E32="","","CHK-"&amp;TEXT(ROW()-3,"000"))</f>
        <v/>
      </c>
      <c r="B32" s="11"/>
      <c r="C32" s="11"/>
      <c r="D32" s="11"/>
      <c r="E32" s="11"/>
      <c r="F32" s="11"/>
      <c r="G32" s="11"/>
      <c r="H32" s="11"/>
      <c r="I32" s="11"/>
      <c r="J32" s="11"/>
      <c r="K32" s="11"/>
      <c r="L32" s="11"/>
      <c r="M32" s="11"/>
      <c r="N32" s="11"/>
      <c r="O32" s="11"/>
      <c r="P32" s="11"/>
    </row>
    <row r="33" customFormat="false" ht="15" hidden="false" customHeight="true" outlineLevel="0" collapsed="false">
      <c r="A33" s="10" t="str">
        <f aca="false">IF(E33="","","CHK-"&amp;TEXT(ROW()-3,"000"))</f>
        <v/>
      </c>
      <c r="B33" s="11"/>
      <c r="C33" s="11"/>
      <c r="D33" s="11"/>
      <c r="E33" s="11"/>
      <c r="F33" s="11"/>
      <c r="G33" s="11"/>
      <c r="H33" s="11"/>
      <c r="I33" s="11"/>
      <c r="J33" s="11"/>
      <c r="K33" s="11"/>
      <c r="L33" s="11"/>
      <c r="M33" s="11"/>
      <c r="N33" s="11"/>
      <c r="O33" s="11"/>
      <c r="P33" s="11"/>
    </row>
  </sheetData>
  <mergeCells count="2">
    <mergeCell ref="A1:P1"/>
    <mergeCell ref="A2:P2"/>
  </mergeCells>
  <dataValidations count="190">
    <dataValidation allowBlank="true" error="Valor fora da lista permitida." errorStyle="stop" errorTitle="Entrada inválida" operator="between" prompt="Escolha um valor da lista." promptTitle="Selecione" showDropDown="false" showErrorMessage="false" showInputMessage="false" sqref="B4"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4"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4"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4"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4"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4"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5"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5"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5"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5"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5"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5"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6"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6"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6"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6"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6"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6"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7"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7"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7"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7"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7"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7"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8"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8"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8"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8"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8"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8"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9"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9"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9"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9"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9"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9"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10"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10"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10"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10"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10"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10"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11"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11"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11"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11"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11"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11"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12"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12"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12"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12"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12"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12"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13"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13"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13"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13"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13"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13"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14"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14"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14"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14"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14"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14"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15"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15"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15"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15"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15"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15"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16"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16"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16"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16"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16"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16"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17"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17"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17"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17"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17"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17"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18"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18"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18"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18"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18"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18"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19"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19"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19"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19"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19"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19"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20"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20"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20"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20"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20"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20"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21"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21"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21"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21"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21"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21"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22"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22"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22"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22"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22"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22"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23"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23"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23"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23"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23"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23"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C24" type="list">
      <formula1>"Prepare,Detect,Verify &amp; Triage,Scope,Contain,Eradicate,Recover,Debrief"</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24"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24"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24"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24"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24"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24"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C25" type="list">
      <formula1>"Prepare,Detect,Verify &amp; Triage,Scope,Contain,Eradicate,Recover,Debrief"</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25"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25"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25"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25"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25"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25"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C26" type="list">
      <formula1>"Prepare,Detect,Verify &amp; Triage,Scope,Contain,Eradicate,Recover,Debrief"</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26"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26"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26"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26"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26"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26"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C27" type="list">
      <formula1>"Prepare,Detect,Verify &amp; Triage,Scope,Contain,Eradicate,Recover,Debrief"</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27"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27"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27"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27"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27"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27"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C28" type="list">
      <formula1>"Prepare,Detect,Verify &amp; Triage,Scope,Contain,Eradicate,Recover,Debrief"</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28"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28"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28"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28"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28"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28"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C29" type="list">
      <formula1>"Prepare,Detect,Verify &amp; Triage,Scope,Contain,Eradicate,Recover,Debrief"</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29"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29"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29"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29"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29"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29"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C30" type="list">
      <formula1>"Prepare,Detect,Verify &amp; Triage,Scope,Contain,Eradicate,Recover,Debrief"</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30"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30"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30"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30"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30"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30"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C31" type="list">
      <formula1>"Prepare,Detect,Verify &amp; Triage,Scope,Contain,Eradicate,Recover,Debrief"</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31"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31"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31"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31"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31"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31"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C32" type="list">
      <formula1>"Prepare,Detect,Verify &amp; Triage,Scope,Contain,Eradicate,Recover,Debrief"</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32"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32"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32"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32"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32"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32" type="list">
      <formula1>"Não,Sim — nova evidência,Sim — mudança de escopo,Sim — falha identificada"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C33" type="list">
      <formula1>"Prepare,Detect,Verify &amp; Triage,Scope,Contain,Eradicate,Recover,Debrief"</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B33" type="list">
      <formula1>"CIC-01,CIC-02,CIC-03,CIC-04,CIC-05"</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H33" type="list">
      <formula1>"Baixa,Média,Alta,Crítica"</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I33" type="list">
      <formula1>"Não iniciada,Em andamento,Concluída,Bloqueada,Não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J33" type="list">
      <formula1>"Não testada,Testada — inefetiva,Testada — parcialmente efetiva,Testada — efetiva,Não aplicável"</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O33" type="list">
      <formula1>"Sim,Não,A avaliar"</formula1>
      <formula2>0</formula2>
    </dataValidation>
    <dataValidation allowBlank="true" error="Valor fora da lista permitida." errorStyle="stop" errorTitle="Entrada inválida" operator="between" prompt="Escolha um valor da lista." promptTitle="Selecione" showDropDown="false" showErrorMessage="false" showInputMessage="false" sqref="P33" type="list">
      <formula1>"Não,Sim — nova evidência,Sim — mudança de escopo,Sim — falha identificada"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2026-10-20T19:26:04Z</dcterms:created>
  <dc:creator>openpyxl</dc:creator>
  <dc:description/>
  <dc:language>en-US</dc:language>
  <cp:lastModifiedBy/>
  <dcterms:modified xsi:type="dcterms:W3CDTF">2026-10-20T19:39:25Z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