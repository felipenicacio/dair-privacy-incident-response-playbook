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oes" sheetId="1" state="visible" r:id="rId3"/>
    <sheet name="Caracterizacao" sheetId="2" state="visible" r:id="rId4"/>
    <sheet name="Avaliacao_Regulatoria" sheetId="3" state="visible" r:id="rId5"/>
    <sheet name="Decisao_Comunicacao" sheetId="4" state="visible" r:id="rId6"/>
    <sheet name="Historico" sheetId="5" state="visible" r:id="rId7"/>
    <sheet name="Matriz_Apoi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" authorId="0">
      <text>
        <r>
          <rPr>
            <sz val="10"/>
            <rFont val="Arial"/>
            <family val="2"/>
          </rPr>
          <t xml:space="preserve">Fórmula: data do marco de conhecimento + 3 dias úteis (função WORKDAY, sem considerar feriados). Agentes de pequeno porte têm prazo em dobro — ajustar manualmente quando aplicável.</t>
        </r>
      </text>
    </comment>
  </commentList>
</comments>
</file>

<file path=xl/sharedStrings.xml><?xml version="1.0" encoding="utf-8"?>
<sst xmlns="http://schemas.openxmlformats.org/spreadsheetml/2006/main" count="168" uniqueCount="134">
  <si>
    <t xml:space="preserve">DAIR — Avaliação de Riscos aos Titulares e Decisão de Comunicação</t>
  </si>
  <si>
    <t xml:space="preserve">Versão 0.3 · Instrumento 2 de 5 · Modelo reutilizável</t>
  </si>
  <si>
    <t xml:space="preserve">AVISO</t>
  </si>
  <si>
    <t xml:space="preserve">Este arquivo específico (sufixo _EXEMPLO-INC-2026-001) contém dados fictícios de treinamento. O modelo em branco, para uso real, é o arquivo sem esse sufixo.</t>
  </si>
  <si>
    <t xml:space="preserve">O que é este arquivo</t>
  </si>
  <si>
    <t xml:space="preserve">Instrumento para registrar, em versões sucessivas, a caracterização do incidente, a avaliação regulatória segundo os critérios cumulativos do art. 5º da Resolução CD/ANPD nº 15/2024 (RCIS) e a decisão sobre comunicação à ANPD e aos titulares.</t>
  </si>
  <si>
    <t xml:space="preserve">Por que versões e não uma avaliação única</t>
  </si>
  <si>
    <t xml:space="preserve">Novas evidências podem alterar a natureza dos dados, o universo de titulares ou as condições de risco. Cada vez que isso ocorrer, registre uma NOVA LINHA com a mesma ID da Avaliação e versão incrementada (v1, v2, v3...) em vez de sobrescrever a anterior. A aba Historico resume o que mudou entre versões.</t>
  </si>
  <si>
    <t xml:space="preserve">Regra central — leia antes de preencher</t>
  </si>
  <si>
    <t xml:space="preserve">Este instrumento NÃO calcula automaticamente se a comunicação é obrigatória. O campo 'Resultado da Avaliação' é preenchido manualmente pelo responsável pela análise e aprovado por quem tem autoridade para isso, com fundamentação registrada. Uma matriz de probabilidade e impacto está disponível na aba Matriz_Apoio apenas para priorização interna — ela não substitui os critérios jurídicos do art. 5º do RCIS e não deve ser citada como fundamento da decisão de comunicação.</t>
  </si>
  <si>
    <t xml:space="preserve">As duas condições cumulativas (art. 5º do RCIS)</t>
  </si>
  <si>
    <t xml:space="preserve">Condição A: o incidente pode afetar significativamente interesses e direitos fundamentais dos titulares? Condição B: envolve ao menos uma categoria prevista no art. 5º, II (dados sensíveis; dados de crianças, adolescentes ou idosos; dados financeiros; dados de autenticação; dados sob sigilo legal/judicial/profissional; ou tratamento em larga escala, conforme §2º)? As duas condições são cumulativas — ambas devem estar fundamentadamente demonstradas.</t>
  </si>
  <si>
    <t xml:space="preserve">Prazos (apoio, não substitui validação jurídica)</t>
  </si>
  <si>
    <t xml:space="preserve">O prazo de comunicação à ANPD e aos titulares é de 3 dias úteis contados do marco de conhecimento pelo controlador (art. 6º, §1º e art. 9º, caput, do RCIS), dobrado para agentes de tratamento de pequeno porte. Complementações à ANPD têm prazo de até 20 dias úteis da comunicação (art. 6º, §3º). A fórmula de prazo nesta planilha usa dias úteis corridos simples e NÃO considera feriados nacionais, municipais ou regras específicas — sempre validar com o Jurídico.</t>
  </si>
  <si>
    <t xml:space="preserve">Resultados possíveis</t>
  </si>
  <si>
    <t xml:space="preserve">Avaliação pendente · Informações insuficientes · Condições regulatórias potencialmente atendidas · Condições regulatórias não demonstradas · Decisão fundamentada e aprovada. Nenhum desses resultados declara conformidade legal automaticamente — todos exigem fundamentação registrada nas colunas correspondentes.</t>
  </si>
  <si>
    <t xml:space="preserve">Identificadores</t>
  </si>
  <si>
    <t xml:space="preserve">Use o padrão AVR-NN para a avaliação (uma ID por incidente, versões sucessivas) e mantenha o mesmo INC-AAAA-NNN do Instrumento 1. Referencie evidências (EVD-) e decisões (DEC-) registradas no Instrumento 1 sempre que aplicável.</t>
  </si>
  <si>
    <t xml:space="preserve">Retenção</t>
  </si>
  <si>
    <t xml:space="preserve">O art. 10 do RCIS exige registro de todos os incidentes com dados pessoais, inclusive os não comunicados, por no mínimo 5 anos. Preserve todas as versões desta avaliação, mesmo as substituídas.</t>
  </si>
  <si>
    <t xml:space="preserve">Caracterização</t>
  </si>
  <si>
    <t xml:space="preserve">EXEMPLO FICTÍCIO — INC-2026-001 — SOMENTE TREINAMENTO (Aurora Comércio Digital S.A., controladora fictícia)</t>
  </si>
  <si>
    <t xml:space="preserve">ID da Avaliação</t>
  </si>
  <si>
    <t xml:space="preserve">Versão</t>
  </si>
  <si>
    <t xml:space="preserve">Incidente (ID)</t>
  </si>
  <si>
    <t xml:space="preserve">Data e Horário</t>
  </si>
  <si>
    <t xml:space="preserve">Natureza do Incidente</t>
  </si>
  <si>
    <t xml:space="preserve">Operações de Tratamento Envolvidas</t>
  </si>
  <si>
    <t xml:space="preserve">Categorias dos Dados Pessoais</t>
  </si>
  <si>
    <t xml:space="preserve">Categorias de Titulares</t>
  </si>
  <si>
    <t xml:space="preserve">Quantidade de Titulares</t>
  </si>
  <si>
    <t xml:space="preserve">Condições de Exposição ou Comprometimento</t>
  </si>
  <si>
    <t xml:space="preserve">Medidas de Proteção Existentes</t>
  </si>
  <si>
    <t xml:space="preserve">Medidas de Mitigação Executadas</t>
  </si>
  <si>
    <t xml:space="preserve">Grau de Certeza das Evidências</t>
  </si>
  <si>
    <t xml:space="preserve">1</t>
  </si>
  <si>
    <t xml:space="preserve">INC-2026-001</t>
  </si>
  <si>
    <t xml:space="preserve">Comprometimento de confidencialidade — acesso não autorizado a dados pessoais</t>
  </si>
  <si>
    <t xml:space="preserve">Atendimento a clientes; faturamento de pedidos</t>
  </si>
  <si>
    <t xml:space="preserve">Nome, CPF, telefone, e-mail, endereço, dados de pedidos</t>
  </si>
  <si>
    <t xml:space="preserve">Clientes</t>
  </si>
  <si>
    <t xml:space="preserve">200 (confirmado nesta versão)</t>
  </si>
  <si>
    <t xml:space="preserve">Consulta indevida via conta administrativa comprometida</t>
  </si>
  <si>
    <t xml:space="preserve">Controle de acesso, MFA no IdP, bloqueio de conta</t>
  </si>
  <si>
    <t xml:space="preserve">Bloqueio de conta e troca de credencial (E03)</t>
  </si>
  <si>
    <t xml:space="preserve">Confirmado</t>
  </si>
  <si>
    <t xml:space="preserve">2</t>
  </si>
  <si>
    <t xml:space="preserve">Comprometimento de confidencialidade — acesso e exportação não autorizados de dados pessoais</t>
  </si>
  <si>
    <t xml:space="preserve">Nome, CPF, telefone, e-mail, endereço, valores e datas de pedidos</t>
  </si>
  <si>
    <t xml:space="preserve">30.000 (confirmado)</t>
  </si>
  <si>
    <t xml:space="preserve">Exportação via token de API ainda ativo após bloqueio da conta (E04)</t>
  </si>
  <si>
    <t xml:space="preserve">Bloqueio de conta, revogação de token, redução de permissões</t>
  </si>
  <si>
    <t xml:space="preserve">Revogação do token (E07), revisão de integrações e permissões</t>
  </si>
  <si>
    <t xml:space="preserve">Avaliação Regulatória — Critérios Cumulativos do Art. 5º do RCIS</t>
  </si>
  <si>
    <t xml:space="preserve">Condição A — Potencial de Afetação Significativa</t>
  </si>
  <si>
    <t xml:space="preserve">Condição B — Categoria do Art. 5º, II, RCIS</t>
  </si>
  <si>
    <t xml:space="preserve">Categoria(s) Aplicável(is)</t>
  </si>
  <si>
    <t xml:space="preserve">Fundamentação das Duas Condições Cumulativas</t>
  </si>
  <si>
    <t xml:space="preserve">Evidências Utilizadas (IDs)</t>
  </si>
  <si>
    <t xml:space="preserve">Incertezas Relevantes</t>
  </si>
  <si>
    <t xml:space="preserve">Resultado da Avaliação</t>
  </si>
  <si>
    <t xml:space="preserve">Necessidade de Aprofundamento</t>
  </si>
  <si>
    <t xml:space="preserve">Responsável pela Análise</t>
  </si>
  <si>
    <t xml:space="preserve">Responsável pela Aprovação</t>
  </si>
  <si>
    <t xml:space="preserve">Em apuração</t>
  </si>
  <si>
    <t xml:space="preserve">Apenas 200 registros confirmados; sem confirmação de exportação, redistribuição ou maior universo de titulares. Informação insuficiente para concluir pelas duas condições cumulativas do art. 5º do RCIS.</t>
  </si>
  <si>
    <t xml:space="preserve">EVD-002</t>
  </si>
  <si>
    <t xml:space="preserve">Extensão real do acesso; existência de exportação</t>
  </si>
  <si>
    <t xml:space="preserve">Informações insuficientes</t>
  </si>
  <si>
    <t xml:space="preserve">Não — aprofundar Scope e monitorar prazo</t>
  </si>
  <si>
    <t xml:space="preserve">Encarregado/DPO</t>
  </si>
  <si>
    <t xml:space="preserve">—</t>
  </si>
  <si>
    <t xml:space="preserve">Sim</t>
  </si>
  <si>
    <t xml:space="preserve">Dados financeiros relacionados a pedidos; avaliação de tratamento em larga escala</t>
  </si>
  <si>
    <t xml:space="preserve">Exportação confirmada de 30.000 registros distintos, incluindo dados de identificação e informações financeiras de pedidos, para fora do ambiente autorizado. Potencial de fraude e engenharia social direcionada com dados verdadeiros de compra. Presença de dados financeiros (art. 5º, II, RCIS) e tratamento em larga escala, sujeita a validação jurídica da extensão do conceito.</t>
  </si>
  <si>
    <t xml:space="preserve">EVD-004; EVD-006</t>
  </si>
  <si>
    <t xml:space="preserve">Circulação e uso dos dados após a exportação permanecem desconhecidos</t>
  </si>
  <si>
    <t xml:space="preserve">Condições regulatórias potencialmente atendidas</t>
  </si>
  <si>
    <t xml:space="preserve">Sim — confirmar interpretação de 'larga escala' com o Jurídico</t>
  </si>
  <si>
    <t xml:space="preserve">Representante autorizado do controlador</t>
  </si>
  <si>
    <t xml:space="preserve">Decisão de Comunicação</t>
  </si>
  <si>
    <t xml:space="preserve">Marco de Conhecimento Aplicável</t>
  </si>
  <si>
    <t xml:space="preserve">Prazo Regulatório (apoio — 3 dias úteis)</t>
  </si>
  <si>
    <t xml:space="preserve">Regras Específicas ou Exceções</t>
  </si>
  <si>
    <t xml:space="preserve">Comunicação à ANPD</t>
  </si>
  <si>
    <t xml:space="preserve">Comunicação aos Titulares</t>
  </si>
  <si>
    <t xml:space="preserve">Fundamentação da Decisão</t>
  </si>
  <si>
    <t xml:space="preserve">Data da Decisão</t>
  </si>
  <si>
    <t xml:space="preserve">Evidências de Aprovação (ID Decisão)</t>
  </si>
  <si>
    <t xml:space="preserve">Estado das Comunicações</t>
  </si>
  <si>
    <t xml:space="preserve">Necessidade de Complementação</t>
  </si>
  <si>
    <t xml:space="preserve">Reavaliações Posteriores</t>
  </si>
  <si>
    <t xml:space="preserve">Nenhuma exceção identificada nesta versão</t>
  </si>
  <si>
    <t xml:space="preserve">Pendente de decisão</t>
  </si>
  <si>
    <t xml:space="preserve">Informação insuficiente para decidir; aguardar aprofundamento do Scope</t>
  </si>
  <si>
    <t xml:space="preserve">Não aplicável</t>
  </si>
  <si>
    <t xml:space="preserve">Não</t>
  </si>
  <si>
    <t xml:space="preserve">Sim — ver versão 2</t>
  </si>
  <si>
    <t xml:space="preserve">Agente de tratamento não é de pequeno porte neste exercício; prazo simples de 3 dias úteis</t>
  </si>
  <si>
    <t xml:space="preserve">Decidido: comunicar</t>
  </si>
  <si>
    <t xml:space="preserve">Condições cumulativas do art. 5º do RCIS consideradas atendidas: potencial de afetação significativa e presença de categoria (dados financeiros / larga escala). Decisão sujeita à validação jurídica final antes do protocolo.</t>
  </si>
  <si>
    <t xml:space="preserve">DEC-003</t>
  </si>
  <si>
    <t xml:space="preserve">Planejada</t>
  </si>
  <si>
    <t xml:space="preserve">Não identificada nesta versão</t>
  </si>
  <si>
    <t xml:space="preserve">Não — versão vigente</t>
  </si>
  <si>
    <t xml:space="preserve">Histórico de Versões</t>
  </si>
  <si>
    <t xml:space="preserve">Novas Evidências</t>
  </si>
  <si>
    <t xml:space="preserve">Alteração de Escopo</t>
  </si>
  <si>
    <t xml:space="preserve">Alteração do Risco</t>
  </si>
  <si>
    <t xml:space="preserve">Decisão Anterior</t>
  </si>
  <si>
    <t xml:space="preserve">Decisão Revisada</t>
  </si>
  <si>
    <t xml:space="preserve">Justificativa</t>
  </si>
  <si>
    <t xml:space="preserve">Exportação de 30.000 registros confirmada (E04-E06)</t>
  </si>
  <si>
    <t xml:space="preserve">Ampliado de 200 registros para 30.000 titulares distintos</t>
  </si>
  <si>
    <t xml:space="preserve">Elevado de 'informação insuficiente' para 'condições potencialmente atendidas'</t>
  </si>
  <si>
    <t xml:space="preserve">Avaliação pendente (v1)</t>
  </si>
  <si>
    <t xml:space="preserve">Condições regulatórias potencialmente atendidas (v2)</t>
  </si>
  <si>
    <t xml:space="preserve">Nova evidência alterou substancialmente a natureza e a extensão do incidente, exigindo reabertura da avaliação conforme regra de atualização do instrumento</t>
  </si>
  <si>
    <t xml:space="preserve">Matriz de Probabilidade x Impacto — Apoio à Priorização</t>
  </si>
  <si>
    <t xml:space="preserve">USO INTERNO. Esta matriz NÃO determina obrigação de comunicação e não substitui os critérios do art. 5º do RCIS.</t>
  </si>
  <si>
    <t xml:space="preserve">ATENÇÃO: resultado meramente orientativo para priorizar o trabalho da equipe. A decisão de comunicação depende exclusivamente da fundamentação registrada na aba Avaliacao_Regulatoria.</t>
  </si>
  <si>
    <t xml:space="preserve">Probabilidade \ Impacto</t>
  </si>
  <si>
    <t xml:space="preserve">Impacto Baixo</t>
  </si>
  <si>
    <t xml:space="preserve">Impacto Médio</t>
  </si>
  <si>
    <t xml:space="preserve">Impacto Alto</t>
  </si>
  <si>
    <t xml:space="preserve">Impacto Crítico</t>
  </si>
  <si>
    <t xml:space="preserve">Probabilidade Baixa</t>
  </si>
  <si>
    <t xml:space="preserve">Prioridade baixa</t>
  </si>
  <si>
    <t xml:space="preserve">Prioridade média</t>
  </si>
  <si>
    <t xml:space="preserve">Prioridade alta</t>
  </si>
  <si>
    <t xml:space="preserve">Probabilidade Média</t>
  </si>
  <si>
    <t xml:space="preserve">Prioridade crítica</t>
  </si>
  <si>
    <t xml:space="preserve">Probabilidade Alta</t>
  </si>
  <si>
    <t xml:space="preserve">Uso sugerido: aplicar esta matriz apenas para ordenar a fila de trabalho da equipe de privacidade quando houver múltiplos incidentes simultâneos.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</si>
</sst>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\ hh:mm"/>
    <numFmt numFmtId="166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1"/>
      <color rgb="FF7F7F7F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i val="true"/>
      <sz val="10"/>
      <color rgb="FFC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Arial"/>
      <family val="2"/>
    </font>
    <font>
      <i val="true"/>
      <sz val="9"/>
      <color rgb="FF7F7F7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EDEDED"/>
        <bgColor rgb="FFE2EFDA"/>
      </patternFill>
    </fill>
    <fill>
      <patternFill patternType="solid">
        <fgColor rgb="FFFFFDE7"/>
        <bgColor rgb="FFFFFFFF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DE9E9"/>
      </patternFill>
    </fill>
    <fill>
      <patternFill patternType="solid">
        <fgColor rgb="FFFDE9E9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DE7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9E9"/>
      <rgbColor rgb="FFE2EFDA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0"/>
  </cols>
  <sheetData>
    <row r="1" customFormat="false" ht="33.7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3"/>
    </row>
    <row r="3" customFormat="false" ht="39.75" hidden="false" customHeight="true" outlineLevel="0" collapsed="false">
      <c r="A3" s="4" t="s">
        <v>2</v>
      </c>
      <c r="B3" s="5" t="s">
        <v>3</v>
      </c>
    </row>
    <row r="4" customFormat="false" ht="64.5" hidden="false" customHeight="true" outlineLevel="0" collapsed="false">
      <c r="A4" s="6" t="s">
        <v>4</v>
      </c>
      <c r="B4" s="7" t="s">
        <v>5</v>
      </c>
    </row>
    <row r="5" customFormat="false" ht="64.5" hidden="false" customHeight="true" outlineLevel="0" collapsed="false">
      <c r="A5" s="6" t="s">
        <v>6</v>
      </c>
      <c r="B5" s="7" t="s">
        <v>7</v>
      </c>
    </row>
    <row r="6" customFormat="false" ht="64.5" hidden="false" customHeight="true" outlineLevel="0" collapsed="false">
      <c r="A6" s="6" t="s">
        <v>8</v>
      </c>
      <c r="B6" s="7" t="s">
        <v>9</v>
      </c>
    </row>
    <row r="7" customFormat="false" ht="64.5" hidden="false" customHeight="true" outlineLevel="0" collapsed="false">
      <c r="A7" s="6" t="s">
        <v>10</v>
      </c>
      <c r="B7" s="7" t="s">
        <v>11</v>
      </c>
    </row>
    <row r="8" customFormat="false" ht="64.5" hidden="false" customHeight="true" outlineLevel="0" collapsed="false">
      <c r="A8" s="6" t="s">
        <v>12</v>
      </c>
      <c r="B8" s="7" t="s">
        <v>13</v>
      </c>
    </row>
    <row r="9" customFormat="false" ht="64.5" hidden="false" customHeight="true" outlineLevel="0" collapsed="false">
      <c r="A9" s="6" t="s">
        <v>14</v>
      </c>
      <c r="B9" s="7" t="s">
        <v>15</v>
      </c>
    </row>
    <row r="10" customFormat="false" ht="64.5" hidden="false" customHeight="true" outlineLevel="0" collapsed="false">
      <c r="A10" s="6" t="s">
        <v>16</v>
      </c>
      <c r="B10" s="7" t="s">
        <v>17</v>
      </c>
    </row>
    <row r="11" customFormat="false" ht="64.5" hidden="false" customHeight="true" outlineLevel="0" collapsed="false">
      <c r="A11" s="6" t="s">
        <v>18</v>
      </c>
      <c r="B11" s="7" t="s">
        <v>19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7" min="6" style="1" width="24"/>
    <col collapsed="false" customWidth="true" hidden="false" outlineLevel="0" max="8" min="8" style="1" width="20"/>
    <col collapsed="false" customWidth="true" hidden="false" outlineLevel="0" max="9" min="9" style="1" width="16"/>
    <col collapsed="false" customWidth="true" hidden="false" outlineLevel="0" max="10" min="10" style="1" width="26"/>
    <col collapsed="false" customWidth="true" hidden="false" outlineLevel="0" max="12" min="11" style="1" width="24"/>
    <col collapsed="false" customWidth="true" hidden="false" outlineLevel="0" max="13" min="13" style="1" width="18"/>
  </cols>
  <sheetData>
    <row r="1" customFormat="false" ht="33.75" hidden="false" customHeight="true" outlineLevel="0" collapsed="false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8" hidden="false" customHeight="true" outlineLevel="0" collapsed="false">
      <c r="A2" s="8" t="s">
        <v>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customFormat="false" ht="31.5" hidden="false" customHeight="true" outlineLevel="0" collapsed="false">
      <c r="A3" s="9" t="s">
        <v>22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30</v>
      </c>
      <c r="J3" s="9" t="s">
        <v>31</v>
      </c>
      <c r="K3" s="9" t="s">
        <v>32</v>
      </c>
      <c r="L3" s="9" t="s">
        <v>33</v>
      </c>
      <c r="M3" s="9" t="s">
        <v>34</v>
      </c>
    </row>
    <row r="4" customFormat="false" ht="15" hidden="false" customHeight="true" outlineLevel="0" collapsed="false">
      <c r="A4" s="10" t="str">
        <f aca="false">IF(E4="","","AVR-"&amp;TEXT(ROW()-3,"00"))</f>
        <v>AVR-01</v>
      </c>
      <c r="B4" s="11" t="s">
        <v>35</v>
      </c>
      <c r="C4" s="11" t="s">
        <v>36</v>
      </c>
      <c r="D4" s="12" t="n">
        <v>46314.3923611111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41</v>
      </c>
      <c r="J4" s="11" t="s">
        <v>42</v>
      </c>
      <c r="K4" s="11" t="s">
        <v>43</v>
      </c>
      <c r="L4" s="11" t="s">
        <v>44</v>
      </c>
      <c r="M4" s="11" t="s">
        <v>45</v>
      </c>
    </row>
    <row r="5" customFormat="false" ht="15" hidden="false" customHeight="true" outlineLevel="0" collapsed="false">
      <c r="A5" s="10" t="str">
        <f aca="false">IF(E5="","","AVR-"&amp;TEXT(ROW()-3,"00"))</f>
        <v>AVR-02</v>
      </c>
      <c r="B5" s="11" t="s">
        <v>46</v>
      </c>
      <c r="C5" s="11" t="s">
        <v>36</v>
      </c>
      <c r="D5" s="12" t="n">
        <v>46314.5069444445</v>
      </c>
      <c r="E5" s="11" t="s">
        <v>47</v>
      </c>
      <c r="F5" s="11" t="s">
        <v>38</v>
      </c>
      <c r="G5" s="11" t="s">
        <v>48</v>
      </c>
      <c r="H5" s="11" t="s">
        <v>40</v>
      </c>
      <c r="I5" s="11" t="s">
        <v>49</v>
      </c>
      <c r="J5" s="11" t="s">
        <v>50</v>
      </c>
      <c r="K5" s="11" t="s">
        <v>51</v>
      </c>
      <c r="L5" s="11" t="s">
        <v>52</v>
      </c>
      <c r="M5" s="11" t="s">
        <v>45</v>
      </c>
    </row>
    <row r="6" customFormat="false" ht="15" hidden="false" customHeight="true" outlineLevel="0" collapsed="false">
      <c r="A6" s="10" t="str">
        <f aca="false">IF(E6="","","AVR-"&amp;TEXT(ROW()-3,"00"))</f>
        <v/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customFormat="false" ht="15" hidden="false" customHeight="true" outlineLevel="0" collapsed="false">
      <c r="A7" s="10" t="str">
        <f aca="false">IF(E7="","","AVR-"&amp;TEXT(ROW()-3,"00"))</f>
        <v/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customFormat="false" ht="15" hidden="false" customHeight="true" outlineLevel="0" collapsed="false">
      <c r="A8" s="10" t="str">
        <f aca="false">IF(E8="","","AVR-"&amp;TEXT(ROW()-3,"00"))</f>
        <v/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customFormat="false" ht="15" hidden="false" customHeight="true" outlineLevel="0" collapsed="false">
      <c r="A9" s="10" t="str">
        <f aca="false">IF(E9="","","AVR-"&amp;TEXT(ROW()-3,"00"))</f>
        <v/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customFormat="false" ht="15" hidden="false" customHeight="true" outlineLevel="0" collapsed="false">
      <c r="A10" s="10" t="str">
        <f aca="false">IF(E10="","","AVR-"&amp;TEXT(ROW()-3,"00"))</f>
        <v/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customFormat="false" ht="15" hidden="false" customHeight="true" outlineLevel="0" collapsed="false">
      <c r="A11" s="10" t="str">
        <f aca="false">IF(E11="","","AVR-"&amp;TEXT(ROW()-3,"00"))</f>
        <v/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customFormat="false" ht="15" hidden="false" customHeight="true" outlineLevel="0" collapsed="false">
      <c r="A12" s="10" t="str">
        <f aca="false">IF(E12="","","AVR-"&amp;TEXT(ROW()-3,"00"))</f>
        <v/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customFormat="false" ht="15" hidden="false" customHeight="true" outlineLevel="0" collapsed="false">
      <c r="A13" s="10" t="str">
        <f aca="false">IF(E13="","","AVR-"&amp;TEXT(ROW()-3,"00"))</f>
        <v/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customFormat="false" ht="15" hidden="false" customHeight="true" outlineLevel="0" collapsed="false">
      <c r="A14" s="10" t="str">
        <f aca="false">IF(E14="","","AVR-"&amp;TEXT(ROW()-3,"00"))</f>
        <v/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customFormat="false" ht="15" hidden="false" customHeight="true" outlineLevel="0" collapsed="false">
      <c r="A15" s="10" t="str">
        <f aca="false">IF(E15="","","AVR-"&amp;TEXT(ROW()-3,"00"))</f>
        <v/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customFormat="false" ht="15" hidden="false" customHeight="true" outlineLevel="0" collapsed="false">
      <c r="A16" s="10" t="str">
        <f aca="false">IF(E16="","","AVR-"&amp;TEXT(ROW()-3,"00"))</f>
        <v/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customFormat="false" ht="15" hidden="false" customHeight="true" outlineLevel="0" collapsed="false">
      <c r="A17" s="10" t="str">
        <f aca="false">IF(E17="","","AVR-"&amp;TEXT(ROW()-3,"00"))</f>
        <v/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customFormat="false" ht="15" hidden="false" customHeight="true" outlineLevel="0" collapsed="false">
      <c r="A18" s="10" t="str">
        <f aca="false">IF(E18="","","AVR-"&amp;TEXT(ROW()-3,"00"))</f>
        <v/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customFormat="false" ht="15" hidden="false" customHeight="true" outlineLevel="0" collapsed="false">
      <c r="A19" s="10" t="str">
        <f aca="false">IF(E19="","","AVR-"&amp;TEXT(ROW()-3,"00"))</f>
        <v/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</sheetData>
  <mergeCells count="2">
    <mergeCell ref="A1:M1"/>
    <mergeCell ref="A2:M2"/>
  </mergeCells>
  <dataValidations count="16"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M4" type="list">
      <formula1>"Confirmado,Hipótese,Inferido,Desconhecido,Não aplicável"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M5" type="list">
      <formula1>"Confirmado,Hipótese,Inferido,Desconhecido,Não aplicável"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M6" type="list">
      <formula1>"Confirmado,Hipótese,Inferido,Desconhecido,Não aplicável"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M7" type="list">
      <formula1>"Confirmado,Hipótese,Inferido,Desconhecido,Não aplicável"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M8" type="list">
      <formula1>"Confirmado,Hipótese,Inferido,Desconhecido,Não aplicável"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M9" type="list">
      <formula1>"Confirmado,Hipótese,Inferido,Desconhecido,Não aplicável"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M10" type="list">
      <formula1>"Confirmado,Hipótese,Inferido,Desconhecido,Não aplicável"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M11" type="list">
      <formula1>"Confirmado,Hipótese,Inferido,Desconhecido,Não aplicável"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M12" type="list">
      <formula1>"Confirmado,Hipótese,Inferido,Desconhecido,Não aplicável"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M13" type="list">
      <formula1>"Confirmado,Hipótese,Inferido,Desconhecido,Não aplicável"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M14" type="list">
      <formula1>"Confirmado,Hipótese,Inferido,Desconhecido,Não aplicável"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M15" type="list">
      <formula1>"Confirmado,Hipótese,Inferido,Desconhecido,Não aplicável"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M16" type="list">
      <formula1>"Confirmado,Hipótese,Inferido,Desconhecido,Não aplicável"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M17" type="list">
      <formula1>"Confirmado,Hipótese,Inferido,Desconhecido,Não aplicável"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M18" type="list">
      <formula1>"Confirmado,Hipótese,Inferido,Desconhecido,Não aplicável"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M19" type="list">
      <formula1>"Confirmado,Hipótese,Inferido,Desconhecido,Não aplicável"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4" min="3" style="1" width="26"/>
    <col collapsed="false" customWidth="true" hidden="false" outlineLevel="0" max="5" min="5" style="1" width="24"/>
    <col collapsed="false" customWidth="true" hidden="false" outlineLevel="0" max="6" min="6" style="1" width="34"/>
    <col collapsed="false" customWidth="true" hidden="false" outlineLevel="0" max="7" min="7" style="1" width="18"/>
    <col collapsed="false" customWidth="true" hidden="false" outlineLevel="0" max="8" min="8" style="1" width="26"/>
    <col collapsed="false" customWidth="true" hidden="false" outlineLevel="0" max="9" min="9" style="1" width="30"/>
    <col collapsed="false" customWidth="true" hidden="false" outlineLevel="0" max="10" min="10" style="1" width="22"/>
    <col collapsed="false" customWidth="true" hidden="false" outlineLevel="0" max="12" min="11" style="1" width="20"/>
  </cols>
  <sheetData>
    <row r="1" customFormat="false" ht="33.75" hidden="false" customHeight="true" outlineLevel="0" collapsed="false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8" t="s">
        <v>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customFormat="false" ht="31.5" hidden="false" customHeight="true" outlineLevel="0" collapsed="false">
      <c r="A3" s="9" t="s">
        <v>22</v>
      </c>
      <c r="B3" s="9" t="s">
        <v>23</v>
      </c>
      <c r="C3" s="9" t="s">
        <v>54</v>
      </c>
      <c r="D3" s="9" t="s">
        <v>55</v>
      </c>
      <c r="E3" s="9" t="s">
        <v>56</v>
      </c>
      <c r="F3" s="9" t="s">
        <v>57</v>
      </c>
      <c r="G3" s="9" t="s">
        <v>58</v>
      </c>
      <c r="H3" s="9" t="s">
        <v>59</v>
      </c>
      <c r="I3" s="9" t="s">
        <v>60</v>
      </c>
      <c r="J3" s="9" t="s">
        <v>61</v>
      </c>
      <c r="K3" s="9" t="s">
        <v>62</v>
      </c>
      <c r="L3" s="9" t="s">
        <v>63</v>
      </c>
    </row>
    <row r="4" customFormat="false" ht="15" hidden="false" customHeight="true" outlineLevel="0" collapsed="false">
      <c r="A4" s="10" t="str">
        <f aca="false">IF(F4="","","AVR-"&amp;TEXT(ROW()-3,"00"))</f>
        <v>AVR-01</v>
      </c>
      <c r="B4" s="11" t="s">
        <v>35</v>
      </c>
      <c r="C4" s="11" t="s">
        <v>64</v>
      </c>
      <c r="D4" s="11" t="s">
        <v>64</v>
      </c>
      <c r="E4" s="11" t="s">
        <v>64</v>
      </c>
      <c r="F4" s="11" t="s">
        <v>65</v>
      </c>
      <c r="G4" s="11" t="s">
        <v>66</v>
      </c>
      <c r="H4" s="11" t="s">
        <v>67</v>
      </c>
      <c r="I4" s="11" t="s">
        <v>68</v>
      </c>
      <c r="J4" s="11" t="s">
        <v>69</v>
      </c>
      <c r="K4" s="11" t="s">
        <v>70</v>
      </c>
      <c r="L4" s="11" t="s">
        <v>71</v>
      </c>
    </row>
    <row r="5" customFormat="false" ht="15" hidden="false" customHeight="true" outlineLevel="0" collapsed="false">
      <c r="A5" s="10" t="str">
        <f aca="false">IF(F5="","","AVR-"&amp;TEXT(ROW()-3,"00"))</f>
        <v>AVR-02</v>
      </c>
      <c r="B5" s="11" t="s">
        <v>46</v>
      </c>
      <c r="C5" s="11" t="s">
        <v>72</v>
      </c>
      <c r="D5" s="11" t="s">
        <v>72</v>
      </c>
      <c r="E5" s="11" t="s">
        <v>73</v>
      </c>
      <c r="F5" s="11" t="s">
        <v>74</v>
      </c>
      <c r="G5" s="11" t="s">
        <v>75</v>
      </c>
      <c r="H5" s="11" t="s">
        <v>76</v>
      </c>
      <c r="I5" s="11" t="s">
        <v>77</v>
      </c>
      <c r="J5" s="11" t="s">
        <v>78</v>
      </c>
      <c r="K5" s="11" t="s">
        <v>70</v>
      </c>
      <c r="L5" s="11" t="s">
        <v>79</v>
      </c>
    </row>
    <row r="6" customFormat="false" ht="15" hidden="false" customHeight="true" outlineLevel="0" collapsed="false">
      <c r="A6" s="10" t="str">
        <f aca="false">IF(F6="","","AVR-"&amp;TEXT(ROW()-3,"00"))</f>
        <v/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customFormat="false" ht="15" hidden="false" customHeight="true" outlineLevel="0" collapsed="false">
      <c r="A7" s="10" t="str">
        <f aca="false">IF(F7="","","AVR-"&amp;TEXT(ROW()-3,"00"))</f>
        <v/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customFormat="false" ht="15" hidden="false" customHeight="true" outlineLevel="0" collapsed="false">
      <c r="A8" s="10" t="str">
        <f aca="false">IF(F8="","","AVR-"&amp;TEXT(ROW()-3,"00"))</f>
        <v/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customFormat="false" ht="15" hidden="false" customHeight="true" outlineLevel="0" collapsed="false">
      <c r="A9" s="10" t="str">
        <f aca="false">IF(F9="","","AVR-"&amp;TEXT(ROW()-3,"00"))</f>
        <v/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customFormat="false" ht="15" hidden="false" customHeight="true" outlineLevel="0" collapsed="false">
      <c r="A10" s="10" t="str">
        <f aca="false">IF(F10="","","AVR-"&amp;TEXT(ROW()-3,"00"))</f>
        <v/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customFormat="false" ht="15" hidden="false" customHeight="true" outlineLevel="0" collapsed="false">
      <c r="A11" s="10" t="str">
        <f aca="false">IF(F11="","","AVR-"&amp;TEXT(ROW()-3,"00"))</f>
        <v/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customFormat="false" ht="15" hidden="false" customHeight="true" outlineLevel="0" collapsed="false">
      <c r="A12" s="10" t="str">
        <f aca="false">IF(F12="","","AVR-"&amp;TEXT(ROW()-3,"00"))</f>
        <v/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customFormat="false" ht="15" hidden="false" customHeight="true" outlineLevel="0" collapsed="false">
      <c r="A13" s="10" t="str">
        <f aca="false">IF(F13="","","AVR-"&amp;TEXT(ROW()-3,"00"))</f>
        <v/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customFormat="false" ht="15" hidden="false" customHeight="true" outlineLevel="0" collapsed="false">
      <c r="A14" s="10" t="str">
        <f aca="false">IF(F14="","","AVR-"&amp;TEXT(ROW()-3,"00"))</f>
        <v/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customFormat="false" ht="15" hidden="false" customHeight="true" outlineLevel="0" collapsed="false">
      <c r="A15" s="10" t="str">
        <f aca="false">IF(F15="","","AVR-"&amp;TEXT(ROW()-3,"00"))</f>
        <v/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customFormat="false" ht="15" hidden="false" customHeight="true" outlineLevel="0" collapsed="false">
      <c r="A16" s="10" t="str">
        <f aca="false">IF(F16="","","AVR-"&amp;TEXT(ROW()-3,"00"))</f>
        <v/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customFormat="false" ht="15" hidden="false" customHeight="true" outlineLevel="0" collapsed="false">
      <c r="A17" s="10" t="str">
        <f aca="false">IF(F17="","","AVR-"&amp;TEXT(ROW()-3,"00"))</f>
        <v/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customFormat="false" ht="15" hidden="false" customHeight="true" outlineLevel="0" collapsed="false">
      <c r="A18" s="10" t="str">
        <f aca="false">IF(F18="","","AVR-"&amp;TEXT(ROW()-3,"00"))</f>
        <v/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customFormat="false" ht="15" hidden="false" customHeight="true" outlineLevel="0" collapsed="false">
      <c r="A19" s="10" t="str">
        <f aca="false">IF(F19="","","AVR-"&amp;TEXT(ROW()-3,"00"))</f>
        <v/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</sheetData>
  <mergeCells count="2">
    <mergeCell ref="A1:L1"/>
    <mergeCell ref="A2:L2"/>
  </mergeCells>
  <dataValidations count="64"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4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4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E4" type="list">
      <formula1>"Dados sensíveis,Dados de crianças/adolescentes/idosos,Dados financeiros,Dados de autenticação,Dados sob sigilo legal/judicial/profissional,Tratamento em larga escala,Nenhuma identificada,Em apuração"</formula1>
      <formula2>0</formula2>
    </dataValidation>
    <dataValidation allowBlank="true" error="Valor fora da lista permitida." errorStyle="stop" errorTitle="Entrada inválida" operator="between" prompt="Escolha com base na fundamentação registrada. Não há cálculo automático." promptTitle="Resultado (manual)" showDropDown="false" showErrorMessage="false" showInputMessage="false" sqref="I4" type="list">
      <formula1>"Avaliação pendente,Informações insuficientes,Condições regulatórias potencialmente atendidas,Condições regulatórias não demonstradas,Decisão fundamentada e aprovada"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5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5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E5" type="list">
      <formula1>"Dados sensíveis,Dados de crianças/adolescentes/idosos,Dados financeiros,Dados de autenticação,Dados sob sigilo legal/judicial/profissional,Tratamento em larga escala,Nenhuma identificada,Em apuração"</formula1>
      <formula2>0</formula2>
    </dataValidation>
    <dataValidation allowBlank="true" error="Valor fora da lista permitida." errorStyle="stop" errorTitle="Entrada inválida" operator="between" prompt="Escolha com base na fundamentação registrada. Não há cálculo automático." promptTitle="Resultado (manual)" showDropDown="false" showErrorMessage="false" showInputMessage="false" sqref="I5" type="list">
      <formula1>"Avaliação pendente,Informações insuficientes,Condições regulatórias potencialmente atendidas,Condições regulatórias não demonstradas,Decisão fundamentada e aprovada"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6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6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E6" type="list">
      <formula1>"Dados sensíveis,Dados de crianças/adolescentes/idosos,Dados financeiros,Dados de autenticação,Dados sob sigilo legal/judicial/profissional,Tratamento em larga escala,Nenhuma identificada,Em apuração"</formula1>
      <formula2>0</formula2>
    </dataValidation>
    <dataValidation allowBlank="true" error="Valor fora da lista permitida." errorStyle="stop" errorTitle="Entrada inválida" operator="between" prompt="Escolha com base na fundamentação registrada. Não há cálculo automático." promptTitle="Resultado (manual)" showDropDown="false" showErrorMessage="false" showInputMessage="false" sqref="I6" type="list">
      <formula1>"Avaliação pendente,Informações insuficientes,Condições regulatórias potencialmente atendidas,Condições regulatórias não demonstradas,Decisão fundamentada e aprovada"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7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7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E7" type="list">
      <formula1>"Dados sensíveis,Dados de crianças/adolescentes/idosos,Dados financeiros,Dados de autenticação,Dados sob sigilo legal/judicial/profissional,Tratamento em larga escala,Nenhuma identificada,Em apuração"</formula1>
      <formula2>0</formula2>
    </dataValidation>
    <dataValidation allowBlank="true" error="Valor fora da lista permitida." errorStyle="stop" errorTitle="Entrada inválida" operator="between" prompt="Escolha com base na fundamentação registrada. Não há cálculo automático." promptTitle="Resultado (manual)" showDropDown="false" showErrorMessage="false" showInputMessage="false" sqref="I7" type="list">
      <formula1>"Avaliação pendente,Informações insuficientes,Condições regulatórias potencialmente atendidas,Condições regulatórias não demonstradas,Decisão fundamentada e aprovada"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8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8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E8" type="list">
      <formula1>"Dados sensíveis,Dados de crianças/adolescentes/idosos,Dados financeiros,Dados de autenticação,Dados sob sigilo legal/judicial/profissional,Tratamento em larga escala,Nenhuma identificada,Em apuração"</formula1>
      <formula2>0</formula2>
    </dataValidation>
    <dataValidation allowBlank="true" error="Valor fora da lista permitida." errorStyle="stop" errorTitle="Entrada inválida" operator="between" prompt="Escolha com base na fundamentação registrada. Não há cálculo automático." promptTitle="Resultado (manual)" showDropDown="false" showErrorMessage="false" showInputMessage="false" sqref="I8" type="list">
      <formula1>"Avaliação pendente,Informações insuficientes,Condições regulatórias potencialmente atendidas,Condições regulatórias não demonstradas,Decisão fundamentada e aprovada"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9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9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E9" type="list">
      <formula1>"Dados sensíveis,Dados de crianças/adolescentes/idosos,Dados financeiros,Dados de autenticação,Dados sob sigilo legal/judicial/profissional,Tratamento em larga escala,Nenhuma identificada,Em apuração"</formula1>
      <formula2>0</formula2>
    </dataValidation>
    <dataValidation allowBlank="true" error="Valor fora da lista permitida." errorStyle="stop" errorTitle="Entrada inválida" operator="between" prompt="Escolha com base na fundamentação registrada. Não há cálculo automático." promptTitle="Resultado (manual)" showDropDown="false" showErrorMessage="false" showInputMessage="false" sqref="I9" type="list">
      <formula1>"Avaliação pendente,Informações insuficientes,Condições regulatórias potencialmente atendidas,Condições regulatórias não demonstradas,Decisão fundamentada e aprovada"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10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10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E10" type="list">
      <formula1>"Dados sensíveis,Dados de crianças/adolescentes/idosos,Dados financeiros,Dados de autenticação,Dados sob sigilo legal/judicial/profissional,Tratamento em larga escala,Nenhuma identificada,Em apuração"</formula1>
      <formula2>0</formula2>
    </dataValidation>
    <dataValidation allowBlank="true" error="Valor fora da lista permitida." errorStyle="stop" errorTitle="Entrada inválida" operator="between" prompt="Escolha com base na fundamentação registrada. Não há cálculo automático." promptTitle="Resultado (manual)" showDropDown="false" showErrorMessage="false" showInputMessage="false" sqref="I10" type="list">
      <formula1>"Avaliação pendente,Informações insuficientes,Condições regulatórias potencialmente atendidas,Condições regulatórias não demonstradas,Decisão fundamentada e aprovada"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11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11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E11" type="list">
      <formula1>"Dados sensíveis,Dados de crianças/adolescentes/idosos,Dados financeiros,Dados de autenticação,Dados sob sigilo legal/judicial/profissional,Tratamento em larga escala,Nenhuma identificada,Em apuração"</formula1>
      <formula2>0</formula2>
    </dataValidation>
    <dataValidation allowBlank="true" error="Valor fora da lista permitida." errorStyle="stop" errorTitle="Entrada inválida" operator="between" prompt="Escolha com base na fundamentação registrada. Não há cálculo automático." promptTitle="Resultado (manual)" showDropDown="false" showErrorMessage="false" showInputMessage="false" sqref="I11" type="list">
      <formula1>"Avaliação pendente,Informações insuficientes,Condições regulatórias potencialmente atendidas,Condições regulatórias não demonstradas,Decisão fundamentada e aprovada"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12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12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E12" type="list">
      <formula1>"Dados sensíveis,Dados de crianças/adolescentes/idosos,Dados financeiros,Dados de autenticação,Dados sob sigilo legal/judicial/profissional,Tratamento em larga escala,Nenhuma identificada,Em apuração"</formula1>
      <formula2>0</formula2>
    </dataValidation>
    <dataValidation allowBlank="true" error="Valor fora da lista permitida." errorStyle="stop" errorTitle="Entrada inválida" operator="between" prompt="Escolha com base na fundamentação registrada. Não há cálculo automático." promptTitle="Resultado (manual)" showDropDown="false" showErrorMessage="false" showInputMessage="false" sqref="I12" type="list">
      <formula1>"Avaliação pendente,Informações insuficientes,Condições regulatórias potencialmente atendidas,Condições regulatórias não demonstradas,Decisão fundamentada e aprovada"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13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13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E13" type="list">
      <formula1>"Dados sensíveis,Dados de crianças/adolescentes/idosos,Dados financeiros,Dados de autenticação,Dados sob sigilo legal/judicial/profissional,Tratamento em larga escala,Nenhuma identificada,Em apuração"</formula1>
      <formula2>0</formula2>
    </dataValidation>
    <dataValidation allowBlank="true" error="Valor fora da lista permitida." errorStyle="stop" errorTitle="Entrada inválida" operator="between" prompt="Escolha com base na fundamentação registrada. Não há cálculo automático." promptTitle="Resultado (manual)" showDropDown="false" showErrorMessage="false" showInputMessage="false" sqref="I13" type="list">
      <formula1>"Avaliação pendente,Informações insuficientes,Condições regulatórias potencialmente atendidas,Condições regulatórias não demonstradas,Decisão fundamentada e aprovada"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14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14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E14" type="list">
      <formula1>"Dados sensíveis,Dados de crianças/adolescentes/idosos,Dados financeiros,Dados de autenticação,Dados sob sigilo legal/judicial/profissional,Tratamento em larga escala,Nenhuma identificada,Em apuração"</formula1>
      <formula2>0</formula2>
    </dataValidation>
    <dataValidation allowBlank="true" error="Valor fora da lista permitida." errorStyle="stop" errorTitle="Entrada inválida" operator="between" prompt="Escolha com base na fundamentação registrada. Não há cálculo automático." promptTitle="Resultado (manual)" showDropDown="false" showErrorMessage="false" showInputMessage="false" sqref="I14" type="list">
      <formula1>"Avaliação pendente,Informações insuficientes,Condições regulatórias potencialmente atendidas,Condições regulatórias não demonstradas,Decisão fundamentada e aprovada"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15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15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E15" type="list">
      <formula1>"Dados sensíveis,Dados de crianças/adolescentes/idosos,Dados financeiros,Dados de autenticação,Dados sob sigilo legal/judicial/profissional,Tratamento em larga escala,Nenhuma identificada,Em apuração"</formula1>
      <formula2>0</formula2>
    </dataValidation>
    <dataValidation allowBlank="true" error="Valor fora da lista permitida." errorStyle="stop" errorTitle="Entrada inválida" operator="between" prompt="Escolha com base na fundamentação registrada. Não há cálculo automático." promptTitle="Resultado (manual)" showDropDown="false" showErrorMessage="false" showInputMessage="false" sqref="I15" type="list">
      <formula1>"Avaliação pendente,Informações insuficientes,Condições regulatórias potencialmente atendidas,Condições regulatórias não demonstradas,Decisão fundamentada e aprovada"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16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16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E16" type="list">
      <formula1>"Dados sensíveis,Dados de crianças/adolescentes/idosos,Dados financeiros,Dados de autenticação,Dados sob sigilo legal/judicial/profissional,Tratamento em larga escala,Nenhuma identificada,Em apuração"</formula1>
      <formula2>0</formula2>
    </dataValidation>
    <dataValidation allowBlank="true" error="Valor fora da lista permitida." errorStyle="stop" errorTitle="Entrada inválida" operator="between" prompt="Escolha com base na fundamentação registrada. Não há cálculo automático." promptTitle="Resultado (manual)" showDropDown="false" showErrorMessage="false" showInputMessage="false" sqref="I16" type="list">
      <formula1>"Avaliação pendente,Informações insuficientes,Condições regulatórias potencialmente atendidas,Condições regulatórias não demonstradas,Decisão fundamentada e aprovada"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17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17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E17" type="list">
      <formula1>"Dados sensíveis,Dados de crianças/adolescentes/idosos,Dados financeiros,Dados de autenticação,Dados sob sigilo legal/judicial/profissional,Tratamento em larga escala,Nenhuma identificada,Em apuração"</formula1>
      <formula2>0</formula2>
    </dataValidation>
    <dataValidation allowBlank="true" error="Valor fora da lista permitida." errorStyle="stop" errorTitle="Entrada inválida" operator="between" prompt="Escolha com base na fundamentação registrada. Não há cálculo automático." promptTitle="Resultado (manual)" showDropDown="false" showErrorMessage="false" showInputMessage="false" sqref="I17" type="list">
      <formula1>"Avaliação pendente,Informações insuficientes,Condições regulatórias potencialmente atendidas,Condições regulatórias não demonstradas,Decisão fundamentada e aprovada"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18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18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E18" type="list">
      <formula1>"Dados sensíveis,Dados de crianças/adolescentes/idosos,Dados financeiros,Dados de autenticação,Dados sob sigilo legal/judicial/profissional,Tratamento em larga escala,Nenhuma identificada,Em apuração"</formula1>
      <formula2>0</formula2>
    </dataValidation>
    <dataValidation allowBlank="true" error="Valor fora da lista permitida." errorStyle="stop" errorTitle="Entrada inválida" operator="between" prompt="Escolha com base na fundamentação registrada. Não há cálculo automático." promptTitle="Resultado (manual)" showDropDown="false" showErrorMessage="false" showInputMessage="false" sqref="I18" type="list">
      <formula1>"Avaliação pendente,Informações insuficientes,Condições regulatórias potencialmente atendidas,Condições regulatórias não demonstradas,Decisão fundamentada e aprovada"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C19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D19" type="list">
      <formula1>"Sim,Não,Em apuração,Não demonstrado"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E19" type="list">
      <formula1>"Dados sensíveis,Dados de crianças/adolescentes/idosos,Dados financeiros,Dados de autenticação,Dados sob sigilo legal/judicial/profissional,Tratamento em larga escala,Nenhuma identificada,Em apuração"</formula1>
      <formula2>0</formula2>
    </dataValidation>
    <dataValidation allowBlank="true" error="Valor fora da lista permitida." errorStyle="stop" errorTitle="Entrada inválida" operator="between" prompt="Escolha com base na fundamentação registrada. Não há cálculo automático." promptTitle="Resultado (manual)" showDropDown="false" showErrorMessage="false" showInputMessage="false" sqref="I19" type="list">
      <formula1>"Avaliação pendente,Informações insuficientes,Condições regulatórias potencialmente atendidas,Condições regulatórias não demonstradas,Decisão fundamentada e aprovada"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24"/>
    <col collapsed="false" customWidth="true" hidden="false" outlineLevel="0" max="7" min="6" style="1" width="20"/>
    <col collapsed="false" customWidth="true" hidden="false" outlineLevel="0" max="8" min="8" style="1" width="30"/>
    <col collapsed="false" customWidth="true" hidden="false" outlineLevel="0" max="9" min="9" style="1" width="16"/>
    <col collapsed="false" customWidth="true" hidden="false" outlineLevel="0" max="11" min="10" style="1" width="20"/>
    <col collapsed="false" customWidth="true" hidden="false" outlineLevel="0" max="13" min="12" style="1" width="22"/>
  </cols>
  <sheetData>
    <row r="1" customFormat="false" ht="33.75" hidden="false" customHeight="true" outlineLevel="0" collapsed="false">
      <c r="A1" s="2" t="s">
        <v>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8" hidden="false" customHeight="true" outlineLevel="0" collapsed="false">
      <c r="A2" s="8" t="s">
        <v>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customFormat="false" ht="31.5" hidden="false" customHeight="true" outlineLevel="0" collapsed="false">
      <c r="A3" s="9" t="s">
        <v>22</v>
      </c>
      <c r="B3" s="9" t="s">
        <v>23</v>
      </c>
      <c r="C3" s="9" t="s">
        <v>81</v>
      </c>
      <c r="D3" s="9" t="s">
        <v>82</v>
      </c>
      <c r="E3" s="9" t="s">
        <v>83</v>
      </c>
      <c r="F3" s="9" t="s">
        <v>84</v>
      </c>
      <c r="G3" s="9" t="s">
        <v>85</v>
      </c>
      <c r="H3" s="9" t="s">
        <v>86</v>
      </c>
      <c r="I3" s="9" t="s">
        <v>87</v>
      </c>
      <c r="J3" s="9" t="s">
        <v>88</v>
      </c>
      <c r="K3" s="9" t="s">
        <v>89</v>
      </c>
      <c r="L3" s="9" t="s">
        <v>90</v>
      </c>
      <c r="M3" s="9" t="s">
        <v>91</v>
      </c>
    </row>
    <row r="4" customFormat="false" ht="15" hidden="false" customHeight="true" outlineLevel="0" collapsed="false">
      <c r="A4" s="10" t="str">
        <f aca="false">IF(C4="","","AVR-"&amp;TEXT(ROW()-3,"00"))</f>
        <v>AVR-01</v>
      </c>
      <c r="B4" s="11" t="s">
        <v>35</v>
      </c>
      <c r="C4" s="12" t="n">
        <v>46314.3923611111</v>
      </c>
      <c r="D4" s="13" t="n">
        <f aca="false">IFERROR(IF(C4="","",WORKDAY(C4,3)),"Verificar formato de data em C"&amp;ROW())</f>
        <v>46317</v>
      </c>
      <c r="E4" s="11" t="s">
        <v>92</v>
      </c>
      <c r="F4" s="11" t="s">
        <v>93</v>
      </c>
      <c r="G4" s="11" t="s">
        <v>93</v>
      </c>
      <c r="H4" s="11" t="s">
        <v>94</v>
      </c>
      <c r="I4" s="11"/>
      <c r="J4" s="11" t="s">
        <v>71</v>
      </c>
      <c r="K4" s="11" t="s">
        <v>95</v>
      </c>
      <c r="L4" s="11" t="s">
        <v>96</v>
      </c>
      <c r="M4" s="11" t="s">
        <v>97</v>
      </c>
    </row>
    <row r="5" customFormat="false" ht="15" hidden="false" customHeight="true" outlineLevel="0" collapsed="false">
      <c r="A5" s="10" t="str">
        <f aca="false">IF(C5="","","AVR-"&amp;TEXT(ROW()-3,"00"))</f>
        <v>AVR-02</v>
      </c>
      <c r="B5" s="11" t="s">
        <v>46</v>
      </c>
      <c r="C5" s="12" t="n">
        <v>46314.3923611111</v>
      </c>
      <c r="D5" s="13" t="n">
        <f aca="false">IFERROR(IF(C5="","",WORKDAY(C5,3)),"Verificar formato de data em C"&amp;ROW())</f>
        <v>46317</v>
      </c>
      <c r="E5" s="11" t="s">
        <v>98</v>
      </c>
      <c r="F5" s="11" t="s">
        <v>99</v>
      </c>
      <c r="G5" s="11" t="s">
        <v>99</v>
      </c>
      <c r="H5" s="11" t="s">
        <v>100</v>
      </c>
      <c r="I5" s="12" t="n">
        <v>46314.5069444445</v>
      </c>
      <c r="J5" s="11" t="s">
        <v>101</v>
      </c>
      <c r="K5" s="11" t="s">
        <v>102</v>
      </c>
      <c r="L5" s="11" t="s">
        <v>103</v>
      </c>
      <c r="M5" s="11" t="s">
        <v>104</v>
      </c>
    </row>
    <row r="6" customFormat="false" ht="15" hidden="false" customHeight="true" outlineLevel="0" collapsed="false">
      <c r="A6" s="10" t="str">
        <f aca="false">IF(C6="","","AVR-"&amp;TEXT(ROW()-3,"00"))</f>
        <v/>
      </c>
      <c r="B6" s="11"/>
      <c r="C6" s="12"/>
      <c r="D6" s="13" t="str">
        <f aca="false">IFERROR(IF(C6="","",WORKDAY(C6,3)),"Verificar formato de data em C"&amp;ROW())</f>
        <v/>
      </c>
      <c r="E6" s="11"/>
      <c r="F6" s="11"/>
      <c r="G6" s="11"/>
      <c r="H6" s="11"/>
      <c r="I6" s="11"/>
      <c r="J6" s="11"/>
      <c r="K6" s="11"/>
      <c r="L6" s="11"/>
      <c r="M6" s="11"/>
    </row>
    <row r="7" customFormat="false" ht="15" hidden="false" customHeight="true" outlineLevel="0" collapsed="false">
      <c r="A7" s="10" t="str">
        <f aca="false">IF(C7="","","AVR-"&amp;TEXT(ROW()-3,"00"))</f>
        <v/>
      </c>
      <c r="B7" s="11"/>
      <c r="C7" s="12"/>
      <c r="D7" s="13" t="str">
        <f aca="false">IFERROR(IF(C7="","",WORKDAY(C7,3)),"Verificar formato de data em C"&amp;ROW())</f>
        <v/>
      </c>
      <c r="E7" s="11"/>
      <c r="F7" s="11"/>
      <c r="G7" s="11"/>
      <c r="H7" s="11"/>
      <c r="I7" s="11"/>
      <c r="J7" s="11"/>
      <c r="K7" s="11"/>
      <c r="L7" s="11"/>
      <c r="M7" s="11"/>
    </row>
    <row r="8" customFormat="false" ht="15" hidden="false" customHeight="true" outlineLevel="0" collapsed="false">
      <c r="A8" s="10" t="str">
        <f aca="false">IF(C8="","","AVR-"&amp;TEXT(ROW()-3,"00"))</f>
        <v/>
      </c>
      <c r="B8" s="11"/>
      <c r="C8" s="12"/>
      <c r="D8" s="13" t="str">
        <f aca="false">IFERROR(IF(C8="","",WORKDAY(C8,3)),"Verificar formato de data em C"&amp;ROW())</f>
        <v/>
      </c>
      <c r="E8" s="11"/>
      <c r="F8" s="11"/>
      <c r="G8" s="11"/>
      <c r="H8" s="11"/>
      <c r="I8" s="11"/>
      <c r="J8" s="11"/>
      <c r="K8" s="11"/>
      <c r="L8" s="11"/>
      <c r="M8" s="11"/>
    </row>
    <row r="9" customFormat="false" ht="15" hidden="false" customHeight="true" outlineLevel="0" collapsed="false">
      <c r="A9" s="10" t="str">
        <f aca="false">IF(C9="","","AVR-"&amp;TEXT(ROW()-3,"00"))</f>
        <v/>
      </c>
      <c r="B9" s="11"/>
      <c r="C9" s="12"/>
      <c r="D9" s="13" t="str">
        <f aca="false">IFERROR(IF(C9="","",WORKDAY(C9,3)),"Verificar formato de data em C"&amp;ROW())</f>
        <v/>
      </c>
      <c r="E9" s="11"/>
      <c r="F9" s="11"/>
      <c r="G9" s="11"/>
      <c r="H9" s="11"/>
      <c r="I9" s="11"/>
      <c r="J9" s="11"/>
      <c r="K9" s="11"/>
      <c r="L9" s="11"/>
      <c r="M9" s="11"/>
    </row>
    <row r="10" customFormat="false" ht="15" hidden="false" customHeight="true" outlineLevel="0" collapsed="false">
      <c r="A10" s="10" t="str">
        <f aca="false">IF(C10="","","AVR-"&amp;TEXT(ROW()-3,"00"))</f>
        <v/>
      </c>
      <c r="B10" s="11"/>
      <c r="C10" s="12"/>
      <c r="D10" s="13" t="str">
        <f aca="false">IFERROR(IF(C10="","",WORKDAY(C10,3)),"Verificar formato de data em C"&amp;ROW())</f>
        <v/>
      </c>
      <c r="E10" s="11"/>
      <c r="F10" s="11"/>
      <c r="G10" s="11"/>
      <c r="H10" s="11"/>
      <c r="I10" s="11"/>
      <c r="J10" s="11"/>
      <c r="K10" s="11"/>
      <c r="L10" s="11"/>
      <c r="M10" s="11"/>
    </row>
    <row r="11" customFormat="false" ht="15" hidden="false" customHeight="true" outlineLevel="0" collapsed="false">
      <c r="A11" s="10" t="str">
        <f aca="false">IF(C11="","","AVR-"&amp;TEXT(ROW()-3,"00"))</f>
        <v/>
      </c>
      <c r="B11" s="11"/>
      <c r="C11" s="12"/>
      <c r="D11" s="13" t="str">
        <f aca="false">IFERROR(IF(C11="","",WORKDAY(C11,3)),"Verificar formato de data em C"&amp;ROW())</f>
        <v/>
      </c>
      <c r="E11" s="11"/>
      <c r="F11" s="11"/>
      <c r="G11" s="11"/>
      <c r="H11" s="11"/>
      <c r="I11" s="11"/>
      <c r="J11" s="11"/>
      <c r="K11" s="11"/>
      <c r="L11" s="11"/>
      <c r="M11" s="11"/>
    </row>
    <row r="12" customFormat="false" ht="15" hidden="false" customHeight="true" outlineLevel="0" collapsed="false">
      <c r="A12" s="10" t="str">
        <f aca="false">IF(C12="","","AVR-"&amp;TEXT(ROW()-3,"00"))</f>
        <v/>
      </c>
      <c r="B12" s="11"/>
      <c r="C12" s="12"/>
      <c r="D12" s="13" t="str">
        <f aca="false">IFERROR(IF(C12="","",WORKDAY(C12,3)),"Verificar formato de data em C"&amp;ROW())</f>
        <v/>
      </c>
      <c r="E12" s="11"/>
      <c r="F12" s="11"/>
      <c r="G12" s="11"/>
      <c r="H12" s="11"/>
      <c r="I12" s="11"/>
      <c r="J12" s="11"/>
      <c r="K12" s="11"/>
      <c r="L12" s="11"/>
      <c r="M12" s="11"/>
    </row>
    <row r="13" customFormat="false" ht="15" hidden="false" customHeight="true" outlineLevel="0" collapsed="false">
      <c r="A13" s="10" t="str">
        <f aca="false">IF(C13="","","AVR-"&amp;TEXT(ROW()-3,"00"))</f>
        <v/>
      </c>
      <c r="B13" s="11"/>
      <c r="C13" s="12"/>
      <c r="D13" s="13" t="str">
        <f aca="false">IFERROR(IF(C13="","",WORKDAY(C13,3)),"Verificar formato de data em C"&amp;ROW())</f>
        <v/>
      </c>
      <c r="E13" s="11"/>
      <c r="F13" s="11"/>
      <c r="G13" s="11"/>
      <c r="H13" s="11"/>
      <c r="I13" s="11"/>
      <c r="J13" s="11"/>
      <c r="K13" s="11"/>
      <c r="L13" s="11"/>
      <c r="M13" s="11"/>
    </row>
    <row r="14" customFormat="false" ht="15" hidden="false" customHeight="true" outlineLevel="0" collapsed="false">
      <c r="A14" s="10" t="str">
        <f aca="false">IF(C14="","","AVR-"&amp;TEXT(ROW()-3,"00"))</f>
        <v/>
      </c>
      <c r="B14" s="11"/>
      <c r="C14" s="12"/>
      <c r="D14" s="13" t="str">
        <f aca="false">IFERROR(IF(C14="","",WORKDAY(C14,3)),"Verificar formato de data em C"&amp;ROW())</f>
        <v/>
      </c>
      <c r="E14" s="11"/>
      <c r="F14" s="11"/>
      <c r="G14" s="11"/>
      <c r="H14" s="11"/>
      <c r="I14" s="11"/>
      <c r="J14" s="11"/>
      <c r="K14" s="11"/>
      <c r="L14" s="11"/>
      <c r="M14" s="11"/>
    </row>
    <row r="15" customFormat="false" ht="15" hidden="false" customHeight="true" outlineLevel="0" collapsed="false">
      <c r="A15" s="10" t="str">
        <f aca="false">IF(C15="","","AVR-"&amp;TEXT(ROW()-3,"00"))</f>
        <v/>
      </c>
      <c r="B15" s="11"/>
      <c r="C15" s="12"/>
      <c r="D15" s="13" t="str">
        <f aca="false">IFERROR(IF(C15="","",WORKDAY(C15,3)),"Verificar formato de data em C"&amp;ROW())</f>
        <v/>
      </c>
      <c r="E15" s="11"/>
      <c r="F15" s="11"/>
      <c r="G15" s="11"/>
      <c r="H15" s="11"/>
      <c r="I15" s="11"/>
      <c r="J15" s="11"/>
      <c r="K15" s="11"/>
      <c r="L15" s="11"/>
      <c r="M15" s="11"/>
    </row>
    <row r="16" customFormat="false" ht="15" hidden="false" customHeight="true" outlineLevel="0" collapsed="false">
      <c r="A16" s="10" t="str">
        <f aca="false">IF(C16="","","AVR-"&amp;TEXT(ROW()-3,"00"))</f>
        <v/>
      </c>
      <c r="B16" s="11"/>
      <c r="C16" s="12"/>
      <c r="D16" s="13" t="str">
        <f aca="false">IFERROR(IF(C16="","",WORKDAY(C16,3)),"Verificar formato de data em C"&amp;ROW())</f>
        <v/>
      </c>
      <c r="E16" s="11"/>
      <c r="F16" s="11"/>
      <c r="G16" s="11"/>
      <c r="H16" s="11"/>
      <c r="I16" s="11"/>
      <c r="J16" s="11"/>
      <c r="K16" s="11"/>
      <c r="L16" s="11"/>
      <c r="M16" s="11"/>
    </row>
    <row r="17" customFormat="false" ht="15" hidden="false" customHeight="true" outlineLevel="0" collapsed="false">
      <c r="A17" s="10" t="str">
        <f aca="false">IF(C17="","","AVR-"&amp;TEXT(ROW()-3,"00"))</f>
        <v/>
      </c>
      <c r="B17" s="11"/>
      <c r="C17" s="12"/>
      <c r="D17" s="13" t="str">
        <f aca="false">IFERROR(IF(C17="","",WORKDAY(C17,3)),"Verificar formato de data em C"&amp;ROW())</f>
        <v/>
      </c>
      <c r="E17" s="11"/>
      <c r="F17" s="11"/>
      <c r="G17" s="11"/>
      <c r="H17" s="11"/>
      <c r="I17" s="11"/>
      <c r="J17" s="11"/>
      <c r="K17" s="11"/>
      <c r="L17" s="11"/>
      <c r="M17" s="11"/>
    </row>
    <row r="18" customFormat="false" ht="15" hidden="false" customHeight="true" outlineLevel="0" collapsed="false">
      <c r="A18" s="10" t="str">
        <f aca="false">IF(C18="","","AVR-"&amp;TEXT(ROW()-3,"00"))</f>
        <v/>
      </c>
      <c r="B18" s="11"/>
      <c r="C18" s="12"/>
      <c r="D18" s="13" t="str">
        <f aca="false">IFERROR(IF(C18="","",WORKDAY(C18,3)),"Verificar formato de data em C"&amp;ROW())</f>
        <v/>
      </c>
      <c r="E18" s="11"/>
      <c r="F18" s="11"/>
      <c r="G18" s="11"/>
      <c r="H18" s="11"/>
      <c r="I18" s="11"/>
      <c r="J18" s="11"/>
      <c r="K18" s="11"/>
      <c r="L18" s="11"/>
      <c r="M18" s="11"/>
    </row>
    <row r="19" customFormat="false" ht="15" hidden="false" customHeight="true" outlineLevel="0" collapsed="false">
      <c r="A19" s="10" t="str">
        <f aca="false">IF(C19="","","AVR-"&amp;TEXT(ROW()-3,"00"))</f>
        <v/>
      </c>
      <c r="B19" s="11"/>
      <c r="C19" s="12"/>
      <c r="D19" s="13" t="str">
        <f aca="false">IFERROR(IF(C19="","",WORKDAY(C19,3)),"Verificar formato de data em C"&amp;ROW())</f>
        <v/>
      </c>
      <c r="E19" s="11"/>
      <c r="F19" s="11"/>
      <c r="G19" s="11"/>
      <c r="H19" s="11"/>
      <c r="I19" s="11"/>
      <c r="J19" s="11"/>
      <c r="K19" s="11"/>
      <c r="L19" s="11"/>
      <c r="M19" s="11"/>
    </row>
  </sheetData>
  <mergeCells count="2">
    <mergeCell ref="A1:M1"/>
    <mergeCell ref="A2:M2"/>
  </mergeCells>
  <dataValidations count="48"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4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4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K4" type="list">
      <formula1>"Não aplicável,Planejada,Aprovada,Realizada,Complementação pendente"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5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5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K5" type="list">
      <formula1>"Não aplicável,Planejada,Aprovada,Realizada,Complementação pendente"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6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6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K6" type="list">
      <formula1>"Não aplicável,Planejada,Aprovada,Realizada,Complementação pendente"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7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7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K7" type="list">
      <formula1>"Não aplicável,Planejada,Aprovada,Realizada,Complementação pendente"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8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8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K8" type="list">
      <formula1>"Não aplicável,Planejada,Aprovada,Realizada,Complementação pendente"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9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9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K9" type="list">
      <formula1>"Não aplicável,Planejada,Aprovada,Realizada,Complementação pendente"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0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10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K10" type="list">
      <formula1>"Não aplicável,Planejada,Aprovada,Realizada,Complementação pendente"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1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11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K11" type="list">
      <formula1>"Não aplicável,Planejada,Aprovada,Realizada,Complementação pendente"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2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12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K12" type="list">
      <formula1>"Não aplicável,Planejada,Aprovada,Realizada,Complementação pendente"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3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13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K13" type="list">
      <formula1>"Não aplicável,Planejada,Aprovada,Realizada,Complementação pendente"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4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14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K14" type="list">
      <formula1>"Não aplicável,Planejada,Aprovada,Realizada,Complementação pendente"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5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15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K15" type="list">
      <formula1>"Não aplicável,Planejada,Aprovada,Realizada,Complementação pendente"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6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16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K16" type="list">
      <formula1>"Não aplicável,Planejada,Aprovada,Realizada,Complementação pendente"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7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17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K17" type="list">
      <formula1>"Não aplicável,Planejada,Aprovada,Realizada,Complementação pendente"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8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18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K18" type="list">
      <formula1>"Não aplicável,Planejada,Aprovada,Realizada,Complementação pendente"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F19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G19" type="list">
      <formula1>"Não avaliado,Pendente de decisão,Decidido: comunicar,Decidido: não comunicar"</formula1>
      <formula2>0</formula2>
    </dataValidation>
    <dataValidation allowBlank="true" error="Valor fora da lista permitida." errorStyle="stop" errorTitle="Entrada inválida" operator="between" prompt="Escolha um valor da lista." promptTitle="Selecione" showDropDown="false" showErrorMessage="false" showInputMessage="false" sqref="K19" type="list">
      <formula1>"Não aplicável,Planejada,Aprovada,Realizada,Complementação 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5" min="5" style="1" width="24"/>
    <col collapsed="false" customWidth="true" hidden="false" outlineLevel="0" max="6" min="6" style="1" width="22"/>
    <col collapsed="false" customWidth="true" hidden="false" outlineLevel="0" max="8" min="7" style="1" width="24"/>
    <col collapsed="false" customWidth="true" hidden="false" outlineLevel="0" max="9" min="9" style="1" width="30"/>
  </cols>
  <sheetData>
    <row r="1" customFormat="false" ht="33.75" hidden="false" customHeight="true" outlineLevel="0" collapsed="false">
      <c r="A1" s="2" t="s">
        <v>105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8" t="s">
        <v>21</v>
      </c>
      <c r="B2" s="8"/>
      <c r="C2" s="8"/>
      <c r="D2" s="8"/>
      <c r="E2" s="8"/>
      <c r="F2" s="8"/>
      <c r="G2" s="8"/>
      <c r="H2" s="8"/>
      <c r="I2" s="8"/>
    </row>
    <row r="3" customFormat="false" ht="31.5" hidden="false" customHeight="true" outlineLevel="0" collapsed="false">
      <c r="A3" s="9" t="s">
        <v>22</v>
      </c>
      <c r="B3" s="9" t="s">
        <v>23</v>
      </c>
      <c r="C3" s="9" t="s">
        <v>25</v>
      </c>
      <c r="D3" s="9" t="s">
        <v>106</v>
      </c>
      <c r="E3" s="9" t="s">
        <v>107</v>
      </c>
      <c r="F3" s="9" t="s">
        <v>108</v>
      </c>
      <c r="G3" s="9" t="s">
        <v>109</v>
      </c>
      <c r="H3" s="9" t="s">
        <v>110</v>
      </c>
      <c r="I3" s="9" t="s">
        <v>111</v>
      </c>
    </row>
    <row r="4" customFormat="false" ht="15" hidden="false" customHeight="true" outlineLevel="0" collapsed="false">
      <c r="A4" s="10" t="str">
        <f aca="false">IF(C4="","","AVR-"&amp;TEXT(ROW()-3,"00"))</f>
        <v>AVR-01</v>
      </c>
      <c r="B4" s="11" t="s">
        <v>46</v>
      </c>
      <c r="C4" s="12" t="n">
        <v>46314.5069444445</v>
      </c>
      <c r="D4" s="11" t="s">
        <v>112</v>
      </c>
      <c r="E4" s="11" t="s">
        <v>113</v>
      </c>
      <c r="F4" s="11" t="s">
        <v>114</v>
      </c>
      <c r="G4" s="11" t="s">
        <v>115</v>
      </c>
      <c r="H4" s="11" t="s">
        <v>116</v>
      </c>
      <c r="I4" s="11" t="s">
        <v>117</v>
      </c>
    </row>
    <row r="5" customFormat="false" ht="15" hidden="false" customHeight="true" outlineLevel="0" collapsed="false">
      <c r="A5" s="10" t="str">
        <f aca="false">IF(C5="","","AVR-"&amp;TEXT(ROW()-3,"00"))</f>
        <v/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true" outlineLevel="0" collapsed="false">
      <c r="A6" s="10" t="str">
        <f aca="false">IF(C6="","","AVR-"&amp;TEXT(ROW()-3,"00"))</f>
        <v/>
      </c>
      <c r="B6" s="11"/>
      <c r="C6" s="11"/>
      <c r="D6" s="11"/>
      <c r="E6" s="11"/>
      <c r="F6" s="11"/>
      <c r="G6" s="11"/>
      <c r="H6" s="11"/>
      <c r="I6" s="11"/>
    </row>
    <row r="7" customFormat="false" ht="15" hidden="false" customHeight="true" outlineLevel="0" collapsed="false">
      <c r="A7" s="10" t="str">
        <f aca="false">IF(C7="","","AVR-"&amp;TEXT(ROW()-3,"00"))</f>
        <v/>
      </c>
      <c r="B7" s="11"/>
      <c r="C7" s="11"/>
      <c r="D7" s="11"/>
      <c r="E7" s="11"/>
      <c r="F7" s="11"/>
      <c r="G7" s="11"/>
      <c r="H7" s="11"/>
      <c r="I7" s="11"/>
    </row>
    <row r="8" customFormat="false" ht="15" hidden="false" customHeight="true" outlineLevel="0" collapsed="false">
      <c r="A8" s="10" t="str">
        <f aca="false">IF(C8="","","AVR-"&amp;TEXT(ROW()-3,"00"))</f>
        <v/>
      </c>
      <c r="B8" s="11"/>
      <c r="C8" s="11"/>
      <c r="D8" s="11"/>
      <c r="E8" s="11"/>
      <c r="F8" s="11"/>
      <c r="G8" s="11"/>
      <c r="H8" s="11"/>
      <c r="I8" s="11"/>
    </row>
    <row r="9" customFormat="false" ht="15" hidden="false" customHeight="true" outlineLevel="0" collapsed="false">
      <c r="A9" s="10" t="str">
        <f aca="false">IF(C9="","","AVR-"&amp;TEXT(ROW()-3,"00"))</f>
        <v/>
      </c>
      <c r="B9" s="11"/>
      <c r="C9" s="11"/>
      <c r="D9" s="11"/>
      <c r="E9" s="11"/>
      <c r="F9" s="11"/>
      <c r="G9" s="11"/>
      <c r="H9" s="11"/>
      <c r="I9" s="11"/>
    </row>
    <row r="10" customFormat="false" ht="15" hidden="false" customHeight="true" outlineLevel="0" collapsed="false">
      <c r="A10" s="10" t="str">
        <f aca="false">IF(C10="","","AVR-"&amp;TEXT(ROW()-3,"00"))</f>
        <v/>
      </c>
      <c r="B10" s="11"/>
      <c r="C10" s="11"/>
      <c r="D10" s="11"/>
      <c r="E10" s="11"/>
      <c r="F10" s="11"/>
      <c r="G10" s="11"/>
      <c r="H10" s="11"/>
      <c r="I10" s="11"/>
    </row>
    <row r="11" customFormat="false" ht="15" hidden="false" customHeight="true" outlineLevel="0" collapsed="false">
      <c r="A11" s="10" t="str">
        <f aca="false">IF(C11="","","AVR-"&amp;TEXT(ROW()-3,"00"))</f>
        <v/>
      </c>
      <c r="B11" s="11"/>
      <c r="C11" s="11"/>
      <c r="D11" s="11"/>
      <c r="E11" s="11"/>
      <c r="F11" s="11"/>
      <c r="G11" s="11"/>
      <c r="H11" s="11"/>
      <c r="I11" s="11"/>
    </row>
    <row r="12" customFormat="false" ht="15" hidden="false" customHeight="true" outlineLevel="0" collapsed="false">
      <c r="A12" s="10" t="str">
        <f aca="false">IF(C12="","","AVR-"&amp;TEXT(ROW()-3,"00"))</f>
        <v/>
      </c>
      <c r="B12" s="11"/>
      <c r="C12" s="11"/>
      <c r="D12" s="11"/>
      <c r="E12" s="11"/>
      <c r="F12" s="11"/>
      <c r="G12" s="11"/>
      <c r="H12" s="11"/>
      <c r="I12" s="11"/>
    </row>
    <row r="13" customFormat="false" ht="15" hidden="false" customHeight="true" outlineLevel="0" collapsed="false">
      <c r="A13" s="10" t="str">
        <f aca="false">IF(C13="","","AVR-"&amp;TEXT(ROW()-3,"00"))</f>
        <v/>
      </c>
      <c r="B13" s="11"/>
      <c r="C13" s="11"/>
      <c r="D13" s="11"/>
      <c r="E13" s="11"/>
      <c r="F13" s="11"/>
      <c r="G13" s="11"/>
      <c r="H13" s="11"/>
      <c r="I13" s="11"/>
    </row>
    <row r="14" customFormat="false" ht="15" hidden="false" customHeight="true" outlineLevel="0" collapsed="false">
      <c r="A14" s="10" t="str">
        <f aca="false">IF(C14="","","AVR-"&amp;TEXT(ROW()-3,"00"))</f>
        <v/>
      </c>
      <c r="B14" s="11"/>
      <c r="C14" s="11"/>
      <c r="D14" s="11"/>
      <c r="E14" s="11"/>
      <c r="F14" s="11"/>
      <c r="G14" s="11"/>
      <c r="H14" s="11"/>
      <c r="I14" s="11"/>
    </row>
    <row r="15" customFormat="false" ht="15" hidden="false" customHeight="true" outlineLevel="0" collapsed="false">
      <c r="A15" s="10" t="str">
        <f aca="false">IF(C15="","","AVR-"&amp;TEXT(ROW()-3,"00"))</f>
        <v/>
      </c>
      <c r="B15" s="11"/>
      <c r="C15" s="11"/>
      <c r="D15" s="11"/>
      <c r="E15" s="11"/>
      <c r="F15" s="11"/>
      <c r="G15" s="11"/>
      <c r="H15" s="11"/>
      <c r="I15" s="11"/>
    </row>
    <row r="16" customFormat="false" ht="15" hidden="false" customHeight="true" outlineLevel="0" collapsed="false">
      <c r="A16" s="10" t="str">
        <f aca="false">IF(C16="","","AVR-"&amp;TEXT(ROW()-3,"00"))</f>
        <v/>
      </c>
      <c r="B16" s="11"/>
      <c r="C16" s="11"/>
      <c r="D16" s="11"/>
      <c r="E16" s="11"/>
      <c r="F16" s="11"/>
      <c r="G16" s="11"/>
      <c r="H16" s="11"/>
      <c r="I16" s="11"/>
    </row>
    <row r="17" customFormat="false" ht="15" hidden="false" customHeight="true" outlineLevel="0" collapsed="false">
      <c r="A17" s="10" t="str">
        <f aca="false">IF(C17="","","AVR-"&amp;TEXT(ROW()-3,"00"))</f>
        <v/>
      </c>
      <c r="B17" s="11"/>
      <c r="C17" s="11"/>
      <c r="D17" s="11"/>
      <c r="E17" s="11"/>
      <c r="F17" s="11"/>
      <c r="G17" s="11"/>
      <c r="H17" s="11"/>
      <c r="I17" s="11"/>
    </row>
    <row r="18" customFormat="false" ht="15" hidden="false" customHeight="true" outlineLevel="0" collapsed="false">
      <c r="A18" s="10" t="str">
        <f aca="false">IF(C18="","","AVR-"&amp;TEXT(ROW()-3,"00"))</f>
        <v/>
      </c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true" outlineLevel="0" collapsed="false">
      <c r="A19" s="10" t="str">
        <f aca="false">IF(C19="","","AVR-"&amp;TEXT(ROW()-3,"00"))</f>
        <v/>
      </c>
      <c r="B19" s="11"/>
      <c r="C19" s="11"/>
      <c r="D19" s="11"/>
      <c r="E19" s="11"/>
      <c r="F19" s="11"/>
      <c r="G19" s="11"/>
      <c r="H19" s="11"/>
      <c r="I19" s="11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6"/>
  </cols>
  <sheetData>
    <row r="1" customFormat="false" ht="33.75" hidden="false" customHeight="true" outlineLevel="0" collapsed="false">
      <c r="A1" s="2" t="s">
        <v>118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119</v>
      </c>
      <c r="B2" s="3"/>
      <c r="C2" s="3"/>
      <c r="D2" s="3"/>
      <c r="E2" s="3"/>
      <c r="F2" s="3"/>
    </row>
    <row r="3" customFormat="false" ht="30" hidden="false" customHeight="true" outlineLevel="0" collapsed="false">
      <c r="A3" s="14" t="s">
        <v>120</v>
      </c>
      <c r="B3" s="14"/>
      <c r="C3" s="14"/>
      <c r="D3" s="14"/>
      <c r="E3" s="14"/>
      <c r="F3" s="14"/>
    </row>
    <row r="5" customFormat="false" ht="15" hidden="false" customHeight="true" outlineLevel="0" collapsed="false">
      <c r="A5" s="15" t="s">
        <v>121</v>
      </c>
      <c r="B5" s="16" t="s">
        <v>122</v>
      </c>
      <c r="C5" s="16" t="s">
        <v>123</v>
      </c>
      <c r="D5" s="16" t="s">
        <v>124</v>
      </c>
      <c r="E5" s="16" t="s">
        <v>125</v>
      </c>
    </row>
    <row r="6" customFormat="false" ht="15" hidden="false" customHeight="true" outlineLevel="0" collapsed="false">
      <c r="A6" s="17" t="s">
        <v>126</v>
      </c>
      <c r="B6" s="18" t="s">
        <v>127</v>
      </c>
      <c r="C6" s="18" t="s">
        <v>127</v>
      </c>
      <c r="D6" s="19" t="s">
        <v>128</v>
      </c>
      <c r="E6" s="19" t="s">
        <v>129</v>
      </c>
    </row>
    <row r="7" customFormat="false" ht="15" hidden="false" customHeight="true" outlineLevel="0" collapsed="false">
      <c r="A7" s="17" t="s">
        <v>130</v>
      </c>
      <c r="B7" s="18" t="s">
        <v>127</v>
      </c>
      <c r="C7" s="19" t="s">
        <v>128</v>
      </c>
      <c r="D7" s="19" t="s">
        <v>129</v>
      </c>
      <c r="E7" s="20" t="s">
        <v>131</v>
      </c>
    </row>
    <row r="8" customFormat="false" ht="15" hidden="false" customHeight="true" outlineLevel="0" collapsed="false">
      <c r="A8" s="17" t="s">
        <v>132</v>
      </c>
      <c r="B8" s="19" t="s">
        <v>128</v>
      </c>
      <c r="C8" s="19" t="s">
        <v>129</v>
      </c>
      <c r="D8" s="20" t="s">
        <v>131</v>
      </c>
      <c r="E8" s="20" t="s">
        <v>131</v>
      </c>
    </row>
    <row r="10" customFormat="false" ht="15" hidden="false" customHeight="true" outlineLevel="0" collapsed="false">
      <c r="A10" s="21" t="s">
        <v>133</v>
      </c>
      <c r="B10" s="21"/>
      <c r="C10" s="21"/>
      <c r="D10" s="21"/>
      <c r="E10" s="21"/>
      <c r="F10" s="21"/>
    </row>
  </sheetData>
  <mergeCells count="4">
    <mergeCell ref="A1:F1"/>
    <mergeCell ref="A2:F2"/>
    <mergeCell ref="A3:F3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2026-10-20T19:34:23Z</dcterms:created>
  <dc:creator>openpyxl</dc:creator>
  <dc:description/>
  <dc:language>en-US</dc:language>
  <cp:lastModifiedBy/>
  <dcterms:modified xsi:type="dcterms:W3CDTF">2026-10-20T19:39:23Z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