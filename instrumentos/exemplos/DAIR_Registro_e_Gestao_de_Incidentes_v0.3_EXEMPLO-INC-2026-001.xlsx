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Cadastro_Incidente" sheetId="2" state="visible" r:id="rId4"/>
    <sheet name="Linha_do_Tempo" sheetId="3" state="visible" r:id="rId5"/>
    <sheet name="Registro_Decisoes" sheetId="4" state="visible" r:id="rId6"/>
    <sheet name="Gestao_Evidencias" sheetId="5" state="visible" r:id="rId7"/>
    <sheet name="Plano_Acoes" sheetId="6" state="visible" r:id="rId8"/>
    <sheet name="Paine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INC-AAAA-NNN</t>
        </r>
      </text>
    </comment>
    <comment ref="B4" authorId="0">
      <text>
        <r>
          <rPr>
            <sz val="10"/>
            <rFont val="Arial"/>
            <family val="2"/>
          </rPr>
          <t xml:space="preserve">dd/mm/aaaa hh:mm</t>
        </r>
      </text>
    </comment>
    <comment ref="B5" authorId="0">
      <text>
        <r>
          <rPr>
            <sz val="10"/>
            <rFont val="Arial"/>
            <family val="2"/>
          </rPr>
          <t xml:space="preserve">dd/mm/aaaa hh:mm</t>
        </r>
      </text>
    </comment>
    <comment ref="B6" authorId="0">
      <text>
        <r>
          <rPr>
            <sz val="10"/>
            <rFont val="Arial"/>
            <family val="2"/>
          </rPr>
          <t xml:space="preserve">dd/mm/aaaa hh:mm — fundamentar na aba Registro_Decisoes</t>
        </r>
      </text>
    </comment>
    <comment ref="B7" authorId="0">
      <text>
        <r>
          <rPr>
            <sz val="10"/>
            <rFont val="Arial"/>
            <family val="2"/>
          </rPr>
          <t xml:space="preserve">Resumo factual, sem conclusões antecipadas</t>
        </r>
      </text>
    </comment>
    <comment ref="B10" authorId="0">
      <text>
        <r>
          <rPr>
            <sz val="10"/>
            <rFont val="Arial"/>
            <family val="2"/>
          </rPr>
          <t xml:space="preserve">Ver matriz de papéis no guia de governança</t>
        </r>
      </text>
    </comment>
    <comment ref="B14" authorId="0">
      <text>
        <r>
          <rPr>
            <sz val="10"/>
            <rFont val="Arial"/>
            <family val="2"/>
          </rPr>
          <t xml:space="preserve">Número; indicar se é confirmado ou estimado</t>
        </r>
      </text>
    </comment>
  </commentList>
</comments>
</file>

<file path=xl/sharedStrings.xml><?xml version="1.0" encoding="utf-8"?>
<sst xmlns="http://schemas.openxmlformats.org/spreadsheetml/2006/main" count="357" uniqueCount="249">
  <si>
    <t xml:space="preserve">DAIR — Registro e Gestão de Incidentes</t>
  </si>
  <si>
    <t xml:space="preserve">Versão 0.3 · Instrumento 1 de 5 · Modelo reutilizável</t>
  </si>
  <si>
    <t xml:space="preserve">AVISO</t>
  </si>
  <si>
    <t xml:space="preserve">Este arquivo específico (sufixo _EXEMPLO-INC-2026-001) contém dados fictícios de treinamento, preenchidos a partir do cenário didático do repositório. O modelo em branco, para uso real, é o arquivo sem esse sufixo.</t>
  </si>
  <si>
    <t xml:space="preserve">O que é este arquivo</t>
  </si>
  <si>
    <t xml:space="preserve">Planilha operacional para registrar, ao longo de um incidente envolvendo dados pessoais, o cadastro do caso, a linha do tempo, as decisões, as evidências e o plano de ações, com um painel de acompanhamento consolidado.</t>
  </si>
  <si>
    <t xml:space="preserve">Como usar</t>
  </si>
  <si>
    <t xml:space="preserve">Preencha apenas as células com fundo amarelo (entrada manual). Células com fundo cinza calculam automaticamente a partir de fórmulas — não digite nelas. Use os menus suspensos sempre que disponíveis para manter a nomenclatura consistente entre instrumentos.</t>
  </si>
  <si>
    <t xml:space="preserve">Identificadores</t>
  </si>
  <si>
    <t xml:space="preserve">Adote o padrão INC-AAAA-NNN para o incidente (ex.: INC-2026-001). Eventos, decisões, evidências, ações e ciclos usam os prefixos EVT-, DEC-, EVD-, ACA- e CIC-, respectivamente, numerados sequencialmente dentro do incidente. Esses mesmos prefixos são usados nos Instrumentos 2, 3, 4 e 5 para permitir rastreabilidade cruzada.</t>
  </si>
  <si>
    <t xml:space="preserve">Metodologia DAIR</t>
  </si>
  <si>
    <t xml:space="preserve">Os waypoints (Prepare, Detect, Verify &amp; Triage, Scope, Contain, Eradicate, Recover, Debrief) seguem a formulação original de Joshua Wright / SANS Institute. O Response Actions Loop (Scope, Contain, Eradicate, Recover) é iterativo: registre quantas iterações forem necessárias usando a coluna 'Ciclo DAIR' na aba Linha_do_Tempo e no Plano_Acoes. Não há ordem obrigatória nem limite de reentradas.</t>
  </si>
  <si>
    <t xml:space="preserve">Campos sem informação</t>
  </si>
  <si>
    <t xml:space="preserve">Quando um dado ainda não é conhecido, utilize 'Não informado' ou 'Desconhecido' nas listas disponíveis, em vez de deixar a célula em branco sem explicação ou de presumir um valor.</t>
  </si>
  <si>
    <t xml:space="preserve">Regulatório</t>
  </si>
  <si>
    <t xml:space="preserve">Esta planilha registra fatos técnicos e decisões. A avaliação de risco aos titulares e a decisão sobre comunicação à ANPD ficam no Instrumento 2 (DAIR_Avaliacao_Riscos_Titulares_ANPD_v0.3.xlsx), que deve ser consultado em conjunto — nenhuma conclusão regulatória deve ser inferida apenas a partir desta planilha.</t>
  </si>
  <si>
    <t xml:space="preserve">Instrumentos relacionados</t>
  </si>
  <si>
    <t xml:space="preserve">Instrumento 2 (avaliação de risco e decisão de comunicação), Instrumento 3 (checklist operacional dinâmico), Instrumento 4 (relatório de resposta) e Instrumento 5 (kit de comunicações). Ver guias/04-utilizar-instrumentos.md no repositório para o fluxo completo.</t>
  </si>
  <si>
    <t xml:space="preserve">Limitações</t>
  </si>
  <si>
    <t xml:space="preserve">Não há sincronização automática entre arquivos nesta versão. A contagem de prazos e os indicadores são cálculos de apoio e exigem validação jurídica e técnica. Esta planilha não declara conformidade regulatória.</t>
  </si>
  <si>
    <t xml:space="preserve">Legenda</t>
  </si>
  <si>
    <t xml:space="preserve">Entrada manual</t>
  </si>
  <si>
    <t xml:space="preserve">Preencher diretamente</t>
  </si>
  <si>
    <t xml:space="preserve">Cálculo automático</t>
  </si>
  <si>
    <t xml:space="preserve">Não editar — resultado de fórmula</t>
  </si>
  <si>
    <t xml:space="preserve">Cadastro do Incidente</t>
  </si>
  <si>
    <t xml:space="preserve">EXEMPLO FICTÍCIO — INC-2026-001 — SOMENTE TREINAMENTO (Aurora Comércio Digital S.A., controladora fictícia)</t>
  </si>
  <si>
    <t xml:space="preserve">Identificador único do incidente</t>
  </si>
  <si>
    <t xml:space="preserve">INC-2026-001</t>
  </si>
  <si>
    <t xml:space="preserve">Data e horário de detecção</t>
  </si>
  <si>
    <t xml:space="preserve">Data e horário de confirmação</t>
  </si>
  <si>
    <t xml:space="preserve">Marco de conhecimento do controlador sobre afetação de dados pessoais</t>
  </si>
  <si>
    <t xml:space="preserve">19/10/2026 09h25 — fixado após confirmação de acesso indevido a 200 registros identificáveis (E02)</t>
  </si>
  <si>
    <t xml:space="preserve">Descrição do incidente</t>
  </si>
  <si>
    <t xml:space="preserve">Acesso não autorizado a conta administrativa de CRM com uso de token de API ainda válido após bloqueio da conta, resultando em consulta indevida e posterior exportação de dados pessoais de clientes.</t>
  </si>
  <si>
    <t xml:space="preserve">Sistemas e serviços afetados</t>
  </si>
  <si>
    <t xml:space="preserve">CRM SaaS, provedor de identidade (IdP), API de integração</t>
  </si>
  <si>
    <t xml:space="preserve">Processos de negócio impactados</t>
  </si>
  <si>
    <t xml:space="preserve">Atendimento a clientes, faturamento de pedidos</t>
  </si>
  <si>
    <t xml:space="preserve">Responsáveis (líder IR, encarregado, demais papéis)</t>
  </si>
  <si>
    <t xml:space="preserve">Líder IR; Encarregado/DPO; Jurídico; IAM; Analista forense; Dono do CRM</t>
  </si>
  <si>
    <t xml:space="preserve">Classificação de severidade</t>
  </si>
  <si>
    <t xml:space="preserve">Crítica</t>
  </si>
  <si>
    <t xml:space="preserve">Situação atual do incidente</t>
  </si>
  <si>
    <t xml:space="preserve">Resposta técnica encerrada; acompanhamento regulatório em curso</t>
  </si>
  <si>
    <t xml:space="preserve">Dados pessoais envolvidos (categorias)</t>
  </si>
  <si>
    <t xml:space="preserve">Nome, CPF, telefone, e-mail, endereço, valores e datas de pedidos</t>
  </si>
  <si>
    <t xml:space="preserve">Quantidade confirmada ou estimada de titulares afetados</t>
  </si>
  <si>
    <t xml:space="preserve">30.000 (confirmado) — titulares distintos, de uma base de aproximadamente 180 mil clientes</t>
  </si>
  <si>
    <t xml:space="preserve">Linha do Tempo</t>
  </si>
  <si>
    <t xml:space="preserve">ID do Evento</t>
  </si>
  <si>
    <t xml:space="preserve">Data e Horário</t>
  </si>
  <si>
    <t xml:space="preserve">Fato Observado</t>
  </si>
  <si>
    <t xml:space="preserve">Fonte da Informação</t>
  </si>
  <si>
    <t xml:space="preserve">Evidência Relacionada (ID)</t>
  </si>
  <si>
    <t xml:space="preserve">Waypoint DAIR</t>
  </si>
  <si>
    <t xml:space="preserve">Ciclo DAIR</t>
  </si>
  <si>
    <t xml:space="preserve">Responsável</t>
  </si>
  <si>
    <t xml:space="preserve">Situação</t>
  </si>
  <si>
    <t xml:space="preserve">Próxima Ação</t>
  </si>
  <si>
    <t xml:space="preserve">19/10/2026 09h10</t>
  </si>
  <si>
    <t xml:space="preserve">Alerta de login de conta de suporte privilegiada em dispositivo não gerenciado (E01)</t>
  </si>
  <si>
    <t xml:space="preserve">SIEM / IdP</t>
  </si>
  <si>
    <t xml:space="preserve">EVD-001</t>
  </si>
  <si>
    <t xml:space="preserve">Detect</t>
  </si>
  <si>
    <t xml:space="preserve">CIC-01</t>
  </si>
  <si>
    <t xml:space="preserve">SOC</t>
  </si>
  <si>
    <t xml:space="preserve">Concluída</t>
  </si>
  <si>
    <t xml:space="preserve">Correlacionar IdP, CRM, API e SIEM</t>
  </si>
  <si>
    <t xml:space="preserve">19/10/2026 09h25</t>
  </si>
  <si>
    <t xml:space="preserve">Confirmação de consulta indevida a 200 registros identificáveis (E02)</t>
  </si>
  <si>
    <t xml:space="preserve">Logs CRM</t>
  </si>
  <si>
    <t xml:space="preserve">EVD-002</t>
  </si>
  <si>
    <t xml:space="preserve">Verify &amp; Triage</t>
  </si>
  <si>
    <t xml:space="preserve">Analista forense</t>
  </si>
  <si>
    <t xml:space="preserve">Acionar encarregado e Jurídico; abrir avaliação v1</t>
  </si>
  <si>
    <t xml:space="preserve">19/10/2026 09h35</t>
  </si>
  <si>
    <t xml:space="preserve">Conta bloqueada e senha redefinida (E03)</t>
  </si>
  <si>
    <t xml:space="preserve">IdP</t>
  </si>
  <si>
    <t xml:space="preserve">EVD-003</t>
  </si>
  <si>
    <t xml:space="preserve">Contain</t>
  </si>
  <si>
    <t xml:space="preserve">IAM</t>
  </si>
  <si>
    <t xml:space="preserve">Validar revogação de sessões e tokens</t>
  </si>
  <si>
    <t xml:space="preserve">19/10/2026 10h00</t>
  </si>
  <si>
    <t xml:space="preserve">Serviço de suporte restabelecido de forma restrita</t>
  </si>
  <si>
    <t xml:space="preserve">TI/CRM</t>
  </si>
  <si>
    <t xml:space="preserve">Recover</t>
  </si>
  <si>
    <t xml:space="preserve">Dono do CRM</t>
  </si>
  <si>
    <t xml:space="preserve">Manter monitoramento; não encerrar investigação</t>
  </si>
  <si>
    <t xml:space="preserve">19/10/2026 10h42</t>
  </si>
  <si>
    <t xml:space="preserve">Exportação de 30.000 registros via token de API ainda ativo após o bloqueio (E04)</t>
  </si>
  <si>
    <t xml:space="preserve">Logs API</t>
  </si>
  <si>
    <t xml:space="preserve">EVD-004</t>
  </si>
  <si>
    <t xml:space="preserve">Scope</t>
  </si>
  <si>
    <t xml:space="preserve">CIC-02</t>
  </si>
  <si>
    <t xml:space="preserve">Reabrir Scope e Contain; reclassificar severidade</t>
  </si>
  <si>
    <t xml:space="preserve">19/10/2026 10h50</t>
  </si>
  <si>
    <t xml:space="preserve">Confirmação de dados e titulares distintos (E05); telemetria da cópia externa (E06)</t>
  </si>
  <si>
    <t xml:space="preserve">CRM / API</t>
  </si>
  <si>
    <t xml:space="preserve">Ampliar avaliação de risco (Instrumento 2)</t>
  </si>
  <si>
    <t xml:space="preserve">19/10/2026 11h05</t>
  </si>
  <si>
    <t xml:space="preserve">Token revogado (E07)</t>
  </si>
  <si>
    <t xml:space="preserve">API</t>
  </si>
  <si>
    <t xml:space="preserve">EVD-005</t>
  </si>
  <si>
    <t xml:space="preserve">Revisar demais tokens, sessões e integrações</t>
  </si>
  <si>
    <t xml:space="preserve">19/10/2026 12h10</t>
  </si>
  <si>
    <t xml:space="preserve">Decisão simulada de comunicação devida (D-03)</t>
  </si>
  <si>
    <t xml:space="preserve">Registro de decisão</t>
  </si>
  <si>
    <t xml:space="preserve">Encarregado / Jurídico</t>
  </si>
  <si>
    <t xml:space="preserve">Elaborar comunicações no Instrumento 5</t>
  </si>
  <si>
    <t xml:space="preserve">19/10/2026 15h00</t>
  </si>
  <si>
    <t xml:space="preserve">Verificação de outros tokens, cobertura limitada (E08)</t>
  </si>
  <si>
    <t xml:space="preserve">IdP / logs</t>
  </si>
  <si>
    <t xml:space="preserve">EVD-006</t>
  </si>
  <si>
    <t xml:space="preserve">Eradicate</t>
  </si>
  <si>
    <t xml:space="preserve">Documentar lacuna de cobertura</t>
  </si>
  <si>
    <t xml:space="preserve">20/10/2026 14h00</t>
  </si>
  <si>
    <t xml:space="preserve">Debrief e saída da resposta ativa (D-04)</t>
  </si>
  <si>
    <t xml:space="preserve">Ata de debrief</t>
  </si>
  <si>
    <t xml:space="preserve">Debrief</t>
  </si>
  <si>
    <t xml:space="preserve">Líder IR</t>
  </si>
  <si>
    <t xml:space="preserve">Manter follow-up regulatório</t>
  </si>
  <si>
    <t xml:space="preserve">Registro de Decisões</t>
  </si>
  <si>
    <t xml:space="preserve">ID da Decisão</t>
  </si>
  <si>
    <t xml:space="preserve">Versão</t>
  </si>
  <si>
    <t xml:space="preserve">Situação Anterior</t>
  </si>
  <si>
    <t xml:space="preserve">Novas Informações</t>
  </si>
  <si>
    <t xml:space="preserve">Alternativas Consideradas</t>
  </si>
  <si>
    <t xml:space="preserve">Decisão Adotada</t>
  </si>
  <si>
    <t xml:space="preserve">Justificativa</t>
  </si>
  <si>
    <t xml:space="preserve">Autoridade Responsável</t>
  </si>
  <si>
    <t xml:space="preserve">Evidências (IDs)</t>
  </si>
  <si>
    <t xml:space="preserve">Condições de Revisão</t>
  </si>
  <si>
    <t xml:space="preserve">1</t>
  </si>
  <si>
    <t xml:space="preserve">200 registros confirmados, sem prova de exportação</t>
  </si>
  <si>
    <t xml:space="preserve">Confirmação de acesso indevido a dados pessoais (E02)</t>
  </si>
  <si>
    <t xml:space="preserve">Monitorar vs. aprofundar investigação</t>
  </si>
  <si>
    <t xml:space="preserve">Abrir avaliação de risco v1; aprofundar Scope</t>
  </si>
  <si>
    <t xml:space="preserve">Fatos ainda insuficientes para avaliação regulatória conclusiva</t>
  </si>
  <si>
    <t xml:space="preserve">Líder IR / Encarregado</t>
  </si>
  <si>
    <t xml:space="preserve">Revisar ao surgir nova evidência de exportação</t>
  </si>
  <si>
    <t xml:space="preserve">Token ainda não verificado após bloqueio da conta</t>
  </si>
  <si>
    <t xml:space="preserve">Exportação de 30.000 registros via token persistente (E04)</t>
  </si>
  <si>
    <t xml:space="preserve">Encerrar resposta vs. reabrir loop</t>
  </si>
  <si>
    <t xml:space="preserve">Nova iteração do Response Actions Loop; suspender exportações</t>
  </si>
  <si>
    <t xml:space="preserve">Primeira contenção insuficiente — token não revogado no bloqueio inicial</t>
  </si>
  <si>
    <t xml:space="preserve">Condicionada à revogação efetiva do token</t>
  </si>
  <si>
    <t xml:space="preserve">Avaliação v1 inconclusiva</t>
  </si>
  <si>
    <t xml:space="preserve">30.000 titulares, dados financeiros de pedidos, cópia externa confirmada</t>
  </si>
  <si>
    <t xml:space="preserve">Não comunicar vs. comunicar com ressalvas vs. comunicar</t>
  </si>
  <si>
    <t xml:space="preserve">Considerar atendidas as condições cumulativas do art. 5º do RCIS; preparar comunicações</t>
  </si>
  <si>
    <t xml:space="preserve">Condição A e B fundamentadas na avaliação v2 (Instrumento 2, AVR-02)</t>
  </si>
  <si>
    <t xml:space="preserve">Controlador (representante autorizado)</t>
  </si>
  <si>
    <t xml:space="preserve">Reavaliar se houver nova informação sobre redistribuição</t>
  </si>
  <si>
    <t xml:space="preserve">Resposta técnica ainda ativa</t>
  </si>
  <si>
    <t xml:space="preserve">Token revogado, acessos avaliados, monitoramento reforçado</t>
  </si>
  <si>
    <t xml:space="preserve">Manter resposta ativa vs. encerrar com pendências registradas</t>
  </si>
  <si>
    <t xml:space="preserve">Encerrar resposta técnica ativa; manter comunicação e monitoramento como pendências</t>
  </si>
  <si>
    <t xml:space="preserve">Condições mínimas de encerramento satisfeitas; risco residual não elimina necessidade de acompanhamento</t>
  </si>
  <si>
    <t xml:space="preserve">Líder IR (aprovado por CISO)</t>
  </si>
  <si>
    <t xml:space="preserve">EVD-005; EVD-006</t>
  </si>
  <si>
    <t xml:space="preserve">Reabrir se houver evidência de redistribuição ou novo acesso</t>
  </si>
  <si>
    <t xml:space="preserve">Gestão de Evidências</t>
  </si>
  <si>
    <t xml:space="preserve">ID da Evidência</t>
  </si>
  <si>
    <t xml:space="preserve">Descrição</t>
  </si>
  <si>
    <t xml:space="preserve">Origem</t>
  </si>
  <si>
    <t xml:space="preserve">Data da Coleta</t>
  </si>
  <si>
    <t xml:space="preserve">Local de Armazenamento Seguro</t>
  </si>
  <si>
    <t xml:space="preserve">Integridade Verificada</t>
  </si>
  <si>
    <t xml:space="preserve">Hash (quando aplicável)</t>
  </si>
  <si>
    <t xml:space="preserve">Histórico de Custódia</t>
  </si>
  <si>
    <t xml:space="preserve">Restrições de Acesso</t>
  </si>
  <si>
    <t xml:space="preserve">Alerta bruto de login privilegiado atípico (E01)</t>
  </si>
  <si>
    <t xml:space="preserve">19/10/2026 09h15</t>
  </si>
  <si>
    <t xml:space="preserve">Repositório de evidências do SOC (ambiente interno restrito)</t>
  </si>
  <si>
    <t xml:space="preserve">Sim</t>
  </si>
  <si>
    <t xml:space="preserve">Não aplicável no exercício — nunca inventar hash real</t>
  </si>
  <si>
    <t xml:space="preserve">SOC → Analista forense</t>
  </si>
  <si>
    <t xml:space="preserve">Acesso restrito à equipe de IR</t>
  </si>
  <si>
    <t xml:space="preserve">Logs de consulta indevida a 200 registros (E02)</t>
  </si>
  <si>
    <t xml:space="preserve">CRM</t>
  </si>
  <si>
    <t xml:space="preserve">19/10/2026 09h28</t>
  </si>
  <si>
    <t xml:space="preserve">Cópia somente leitura, ambiente interno restrito</t>
  </si>
  <si>
    <t xml:space="preserve">Não aplicável no exercício</t>
  </si>
  <si>
    <t xml:space="preserve">Acesso restrito à equipe de IR e encarregado</t>
  </si>
  <si>
    <t xml:space="preserve">Histórico de bloqueio de conta e troca de credencial (E03)</t>
  </si>
  <si>
    <t xml:space="preserve">19/10/2026 09h36</t>
  </si>
  <si>
    <t xml:space="preserve">Repositório de mudanças do IAM</t>
  </si>
  <si>
    <t xml:space="preserve">Logs de exportação via API e resposta do operador (E04–E06)</t>
  </si>
  <si>
    <t xml:space="preserve">19/10/2026 10h48–11h00</t>
  </si>
  <si>
    <t xml:space="preserve">Repositório de evidências do SOC</t>
  </si>
  <si>
    <t xml:space="preserve">Acesso restrito à equipe de IR, encarregado e Jurídico</t>
  </si>
  <si>
    <t xml:space="preserve">Log de revogação do token (E07)</t>
  </si>
  <si>
    <t xml:space="preserve">19/10/2026 11h07</t>
  </si>
  <si>
    <t xml:space="preserve">Verificação de outros tokens e hipóteses de phishing (E08–E09)</t>
  </si>
  <si>
    <t xml:space="preserve">IdP / e-mail / CRM</t>
  </si>
  <si>
    <t xml:space="preserve">Parcial</t>
  </si>
  <si>
    <t xml:space="preserve">Plano de Ações</t>
  </si>
  <si>
    <t xml:space="preserve">ID da Ação</t>
  </si>
  <si>
    <t xml:space="preserve">Ação</t>
  </si>
  <si>
    <t xml:space="preserve">Tipo</t>
  </si>
  <si>
    <t xml:space="preserve">Waypoint Relacionado</t>
  </si>
  <si>
    <t xml:space="preserve">Prioridade</t>
  </si>
  <si>
    <t xml:space="preserve">Prazo</t>
  </si>
  <si>
    <t xml:space="preserve">Status</t>
  </si>
  <si>
    <t xml:space="preserve">Evidência de Conclusão (ID)</t>
  </si>
  <si>
    <t xml:space="preserve">Dependências</t>
  </si>
  <si>
    <t xml:space="preserve">Revogar token de API utilizado no acesso indevido</t>
  </si>
  <si>
    <t xml:space="preserve">Contenção</t>
  </si>
  <si>
    <t xml:space="preserve">19/10/2026</t>
  </si>
  <si>
    <t xml:space="preserve">Confirmação de E04</t>
  </si>
  <si>
    <t xml:space="preserve">Investigar persistência do atacante em outros tokens e sessões</t>
  </si>
  <si>
    <t xml:space="preserve">Investigação</t>
  </si>
  <si>
    <t xml:space="preserve">Alta</t>
  </si>
  <si>
    <t xml:space="preserve">Revogação do token principal</t>
  </si>
  <si>
    <t xml:space="preserve">Reavaliar risco aos titulares após exportação confirmada</t>
  </si>
  <si>
    <t xml:space="preserve">Comunicação</t>
  </si>
  <si>
    <t xml:space="preserve">Encarregado</t>
  </si>
  <si>
    <t xml:space="preserve">DEC-003</t>
  </si>
  <si>
    <t xml:space="preserve">Confirmação de E05/E06</t>
  </si>
  <si>
    <t xml:space="preserve">Implementar revogação automática de sessões/tokens após bloqueio de identidade</t>
  </si>
  <si>
    <t xml:space="preserve">Corretiva</t>
  </si>
  <si>
    <t xml:space="preserve">A definir pela organização</t>
  </si>
  <si>
    <t xml:space="preserve">Não iniciada</t>
  </si>
  <si>
    <t xml:space="preserve">Debrief concluído</t>
  </si>
  <si>
    <t xml:space="preserve">Reduzir privilégios de exportação da conta de suporte</t>
  </si>
  <si>
    <t xml:space="preserve">Implementar alertas de exportação em massa no SIEM</t>
  </si>
  <si>
    <t xml:space="preserve">Painel de Acompanhamento</t>
  </si>
  <si>
    <t xml:space="preserve">Situação geral do incidente</t>
  </si>
  <si>
    <t xml:space="preserve">Replica a situação atual cadastrada.</t>
  </si>
  <si>
    <t xml:space="preserve">Ações pendentes (não concluídas)</t>
  </si>
  <si>
    <t xml:space="preserve">Conta ações com descrição preenchida cujo status não é Concluída nem Cancelada.</t>
  </si>
  <si>
    <t xml:space="preserve">Ações concluídas</t>
  </si>
  <si>
    <t xml:space="preserve">Decisões registradas</t>
  </si>
  <si>
    <t xml:space="preserve">Conta linhas com Decisão Adotada preenchida.</t>
  </si>
  <si>
    <t xml:space="preserve">Quantidade de reavaliações (versões de decisão &gt; 1)</t>
  </si>
  <si>
    <t xml:space="preserve">Depende do preenchimento numérico da coluna Versão.</t>
  </si>
  <si>
    <t xml:space="preserve">Eventos registrados na linha do tempo</t>
  </si>
  <si>
    <t xml:space="preserve">Conta linhas com Fato Observado preenchido.</t>
  </si>
  <si>
    <t xml:space="preserve">Ciclos DAIR distintos identificados</t>
  </si>
  <si>
    <t xml:space="preserve">Estimativa; revisar manualmente em caso de inconsistência de preenchimento.</t>
  </si>
  <si>
    <t xml:space="preserve">Evidências registradas</t>
  </si>
  <si>
    <t xml:space="preserve">Conta linhas com Descrição preenchida.</t>
  </si>
  <si>
    <t xml:space="preserve">Evidências com integridade não verificada ou não informada</t>
  </si>
  <si>
    <t xml:space="preserve">Inclui 'Não', 'Parcial', 'Não informado' e células em branco com Descrição preenchida.</t>
  </si>
  <si>
    <t xml:space="preserve">Tempo entre detecção e confirmação (cálculo de apoio)</t>
  </si>
  <si>
    <t xml:space="preserve">Cálculo de apoio; não substitui indicador oficial de tempo de resposta.</t>
  </si>
  <si>
    <t xml:space="preserve">Pendências de privacidade e comunicação</t>
  </si>
  <si>
    <t xml:space="preserve">Esta planilha não registra decisão regulatória.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</si>
</sst>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EDEDED"/>
        <bgColor rgb="FFFDE9E9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F2CC"/>
        </patternFill>
      </fill>
    </dxf>
    <dxf>
      <fill>
        <patternFill>
          <bgColor rgb="FFFDE9E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E9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0"/>
  </cols>
  <sheetData>
    <row r="1" customFormat="false" ht="33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3" customFormat="false" ht="39.75" hidden="false" customHeight="true" outlineLevel="0" collapsed="false">
      <c r="A3" s="4" t="s">
        <v>2</v>
      </c>
      <c r="B3" s="5" t="s">
        <v>3</v>
      </c>
    </row>
    <row r="4" customFormat="false" ht="54.75" hidden="false" customHeight="true" outlineLevel="0" collapsed="false">
      <c r="A4" s="6" t="s">
        <v>4</v>
      </c>
      <c r="B4" s="7" t="s">
        <v>5</v>
      </c>
    </row>
    <row r="5" customFormat="false" ht="54.75" hidden="false" customHeight="true" outlineLevel="0" collapsed="false">
      <c r="A5" s="6" t="s">
        <v>6</v>
      </c>
      <c r="B5" s="7" t="s">
        <v>7</v>
      </c>
    </row>
    <row r="6" customFormat="false" ht="54.75" hidden="false" customHeight="true" outlineLevel="0" collapsed="false">
      <c r="A6" s="6" t="s">
        <v>8</v>
      </c>
      <c r="B6" s="7" t="s">
        <v>9</v>
      </c>
    </row>
    <row r="7" customFormat="false" ht="54.75" hidden="false" customHeight="true" outlineLevel="0" collapsed="false">
      <c r="A7" s="6" t="s">
        <v>10</v>
      </c>
      <c r="B7" s="7" t="s">
        <v>11</v>
      </c>
    </row>
    <row r="8" customFormat="false" ht="54.75" hidden="false" customHeight="true" outlineLevel="0" collapsed="false">
      <c r="A8" s="6" t="s">
        <v>12</v>
      </c>
      <c r="B8" s="7" t="s">
        <v>13</v>
      </c>
    </row>
    <row r="9" customFormat="false" ht="54.75" hidden="false" customHeight="true" outlineLevel="0" collapsed="false">
      <c r="A9" s="6" t="s">
        <v>14</v>
      </c>
      <c r="B9" s="7" t="s">
        <v>15</v>
      </c>
    </row>
    <row r="10" customFormat="false" ht="54.75" hidden="false" customHeight="true" outlineLevel="0" collapsed="false">
      <c r="A10" s="6" t="s">
        <v>16</v>
      </c>
      <c r="B10" s="7" t="s">
        <v>17</v>
      </c>
    </row>
    <row r="11" customFormat="false" ht="54.75" hidden="false" customHeight="true" outlineLevel="0" collapsed="false">
      <c r="A11" s="6" t="s">
        <v>18</v>
      </c>
      <c r="B11" s="7" t="s">
        <v>19</v>
      </c>
    </row>
    <row r="13" customFormat="false" ht="15" hidden="false" customHeight="true" outlineLevel="0" collapsed="false">
      <c r="A13" s="8" t="s">
        <v>20</v>
      </c>
    </row>
    <row r="14" customFormat="false" ht="15" hidden="false" customHeight="true" outlineLevel="0" collapsed="false">
      <c r="A14" s="9" t="s">
        <v>21</v>
      </c>
      <c r="B14" s="10" t="s">
        <v>22</v>
      </c>
    </row>
    <row r="15" customFormat="false" ht="15" hidden="false" customHeight="true" outlineLevel="0" collapsed="false">
      <c r="A15" s="11" t="s">
        <v>23</v>
      </c>
      <c r="B15" s="10" t="s">
        <v>24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</cols>
  <sheetData>
    <row r="1" customFormat="false" ht="33.75" hidden="false" customHeight="true" outlineLevel="0" collapsed="false">
      <c r="A1" s="2" t="s">
        <v>25</v>
      </c>
      <c r="B1" s="2"/>
    </row>
    <row r="2" customFormat="false" ht="18" hidden="false" customHeight="true" outlineLevel="0" collapsed="false">
      <c r="A2" s="12" t="s">
        <v>26</v>
      </c>
      <c r="B2" s="12"/>
    </row>
    <row r="3" customFormat="false" ht="27.75" hidden="false" customHeight="true" outlineLevel="0" collapsed="false">
      <c r="A3" s="13" t="s">
        <v>27</v>
      </c>
      <c r="B3" s="14" t="s">
        <v>28</v>
      </c>
    </row>
    <row r="4" customFormat="false" ht="27.75" hidden="false" customHeight="true" outlineLevel="0" collapsed="false">
      <c r="A4" s="13" t="s">
        <v>29</v>
      </c>
      <c r="B4" s="15" t="n">
        <v>46314.3819444445</v>
      </c>
    </row>
    <row r="5" customFormat="false" ht="27.75" hidden="false" customHeight="true" outlineLevel="0" collapsed="false">
      <c r="A5" s="13" t="s">
        <v>30</v>
      </c>
      <c r="B5" s="15" t="n">
        <v>46314.3923611111</v>
      </c>
    </row>
    <row r="6" customFormat="false" ht="27.75" hidden="false" customHeight="true" outlineLevel="0" collapsed="false">
      <c r="A6" s="13" t="s">
        <v>31</v>
      </c>
      <c r="B6" s="14" t="s">
        <v>32</v>
      </c>
    </row>
    <row r="7" customFormat="false" ht="27.75" hidden="false" customHeight="true" outlineLevel="0" collapsed="false">
      <c r="A7" s="13" t="s">
        <v>33</v>
      </c>
      <c r="B7" s="14" t="s">
        <v>34</v>
      </c>
    </row>
    <row r="8" customFormat="false" ht="27.75" hidden="false" customHeight="true" outlineLevel="0" collapsed="false">
      <c r="A8" s="13" t="s">
        <v>35</v>
      </c>
      <c r="B8" s="14" t="s">
        <v>36</v>
      </c>
    </row>
    <row r="9" customFormat="false" ht="27.75" hidden="false" customHeight="true" outlineLevel="0" collapsed="false">
      <c r="A9" s="13" t="s">
        <v>37</v>
      </c>
      <c r="B9" s="14" t="s">
        <v>38</v>
      </c>
    </row>
    <row r="10" customFormat="false" ht="27.75" hidden="false" customHeight="true" outlineLevel="0" collapsed="false">
      <c r="A10" s="13" t="s">
        <v>39</v>
      </c>
      <c r="B10" s="14" t="s">
        <v>40</v>
      </c>
    </row>
    <row r="11" customFormat="false" ht="27.75" hidden="false" customHeight="true" outlineLevel="0" collapsed="false">
      <c r="A11" s="13" t="s">
        <v>41</v>
      </c>
      <c r="B11" s="14" t="s">
        <v>42</v>
      </c>
    </row>
    <row r="12" customFormat="false" ht="27.75" hidden="false" customHeight="true" outlineLevel="0" collapsed="false">
      <c r="A12" s="13" t="s">
        <v>43</v>
      </c>
      <c r="B12" s="14" t="s">
        <v>44</v>
      </c>
    </row>
    <row r="13" customFormat="false" ht="27.75" hidden="false" customHeight="true" outlineLevel="0" collapsed="false">
      <c r="A13" s="13" t="s">
        <v>45</v>
      </c>
      <c r="B13" s="14" t="s">
        <v>46</v>
      </c>
    </row>
    <row r="14" customFormat="false" ht="27.75" hidden="false" customHeight="true" outlineLevel="0" collapsed="false">
      <c r="A14" s="13" t="s">
        <v>47</v>
      </c>
      <c r="B14" s="14" t="s">
        <v>48</v>
      </c>
    </row>
  </sheetData>
  <mergeCells count="2">
    <mergeCell ref="A1:B1"/>
    <mergeCell ref="A2:B2"/>
  </mergeCells>
  <dataValidations count="2"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B11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B12" type="list">
      <formula1>"Em investigação,Em contenção,Em erradicação,Em recuperação,Resposta técnica encerrada,Encerrado (todas as pendências resolvidas)"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30"/>
  </cols>
  <sheetData>
    <row r="1" customFormat="false" ht="33.75" hidden="false" customHeight="true" outlineLevel="0" collapsed="false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12" t="s">
        <v>26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31.5" hidden="false" customHeight="true" outlineLevel="0" collapsed="false">
      <c r="A3" s="16" t="s">
        <v>50</v>
      </c>
      <c r="B3" s="16" t="s">
        <v>51</v>
      </c>
      <c r="C3" s="16" t="s">
        <v>52</v>
      </c>
      <c r="D3" s="16" t="s">
        <v>53</v>
      </c>
      <c r="E3" s="16" t="s">
        <v>54</v>
      </c>
      <c r="F3" s="16" t="s">
        <v>55</v>
      </c>
      <c r="G3" s="16" t="s">
        <v>56</v>
      </c>
      <c r="H3" s="16" t="s">
        <v>57</v>
      </c>
      <c r="I3" s="16" t="s">
        <v>58</v>
      </c>
      <c r="J3" s="16" t="s">
        <v>59</v>
      </c>
    </row>
    <row r="4" customFormat="false" ht="15" hidden="false" customHeight="true" outlineLevel="0" collapsed="false">
      <c r="A4" s="17" t="str">
        <f aca="false">IF(C4="","","EVT-"&amp;TEXT(ROW()-3,"000"))</f>
        <v>EVT-001</v>
      </c>
      <c r="B4" s="18" t="s">
        <v>60</v>
      </c>
      <c r="C4" s="18" t="s">
        <v>61</v>
      </c>
      <c r="D4" s="18" t="s">
        <v>62</v>
      </c>
      <c r="E4" s="18" t="s">
        <v>63</v>
      </c>
      <c r="F4" s="19" t="s">
        <v>64</v>
      </c>
      <c r="G4" s="19" t="s">
        <v>65</v>
      </c>
      <c r="H4" s="18" t="s">
        <v>66</v>
      </c>
      <c r="I4" s="19" t="s">
        <v>67</v>
      </c>
      <c r="J4" s="18" t="s">
        <v>68</v>
      </c>
    </row>
    <row r="5" customFormat="false" ht="15" hidden="false" customHeight="true" outlineLevel="0" collapsed="false">
      <c r="A5" s="17" t="str">
        <f aca="false">IF(C5="","","EVT-"&amp;TEXT(ROW()-3,"000"))</f>
        <v>EVT-002</v>
      </c>
      <c r="B5" s="18" t="s">
        <v>69</v>
      </c>
      <c r="C5" s="18" t="s">
        <v>70</v>
      </c>
      <c r="D5" s="18" t="s">
        <v>71</v>
      </c>
      <c r="E5" s="18" t="s">
        <v>72</v>
      </c>
      <c r="F5" s="19" t="s">
        <v>73</v>
      </c>
      <c r="G5" s="19" t="s">
        <v>65</v>
      </c>
      <c r="H5" s="18" t="s">
        <v>74</v>
      </c>
      <c r="I5" s="19" t="s">
        <v>67</v>
      </c>
      <c r="J5" s="18" t="s">
        <v>75</v>
      </c>
    </row>
    <row r="6" customFormat="false" ht="15" hidden="false" customHeight="true" outlineLevel="0" collapsed="false">
      <c r="A6" s="17" t="str">
        <f aca="false">IF(C6="","","EVT-"&amp;TEXT(ROW()-3,"000"))</f>
        <v>EVT-003</v>
      </c>
      <c r="B6" s="18" t="s">
        <v>76</v>
      </c>
      <c r="C6" s="18" t="s">
        <v>77</v>
      </c>
      <c r="D6" s="18" t="s">
        <v>78</v>
      </c>
      <c r="E6" s="18" t="s">
        <v>79</v>
      </c>
      <c r="F6" s="19" t="s">
        <v>80</v>
      </c>
      <c r="G6" s="19" t="s">
        <v>65</v>
      </c>
      <c r="H6" s="18" t="s">
        <v>81</v>
      </c>
      <c r="I6" s="19" t="s">
        <v>67</v>
      </c>
      <c r="J6" s="18" t="s">
        <v>82</v>
      </c>
    </row>
    <row r="7" customFormat="false" ht="15" hidden="false" customHeight="true" outlineLevel="0" collapsed="false">
      <c r="A7" s="17" t="str">
        <f aca="false">IF(C7="","","EVT-"&amp;TEXT(ROW()-3,"000"))</f>
        <v>EVT-004</v>
      </c>
      <c r="B7" s="18" t="s">
        <v>83</v>
      </c>
      <c r="C7" s="18" t="s">
        <v>84</v>
      </c>
      <c r="D7" s="18" t="s">
        <v>85</v>
      </c>
      <c r="E7" s="18"/>
      <c r="F7" s="19" t="s">
        <v>86</v>
      </c>
      <c r="G7" s="19" t="s">
        <v>65</v>
      </c>
      <c r="H7" s="18" t="s">
        <v>87</v>
      </c>
      <c r="I7" s="19" t="s">
        <v>67</v>
      </c>
      <c r="J7" s="18" t="s">
        <v>88</v>
      </c>
    </row>
    <row r="8" customFormat="false" ht="15" hidden="false" customHeight="true" outlineLevel="0" collapsed="false">
      <c r="A8" s="17" t="str">
        <f aca="false">IF(C8="","","EVT-"&amp;TEXT(ROW()-3,"000"))</f>
        <v>EVT-005</v>
      </c>
      <c r="B8" s="18" t="s">
        <v>89</v>
      </c>
      <c r="C8" s="18" t="s">
        <v>90</v>
      </c>
      <c r="D8" s="18" t="s">
        <v>91</v>
      </c>
      <c r="E8" s="18" t="s">
        <v>92</v>
      </c>
      <c r="F8" s="19" t="s">
        <v>93</v>
      </c>
      <c r="G8" s="19" t="s">
        <v>94</v>
      </c>
      <c r="H8" s="18" t="s">
        <v>74</v>
      </c>
      <c r="I8" s="19" t="s">
        <v>67</v>
      </c>
      <c r="J8" s="18" t="s">
        <v>95</v>
      </c>
    </row>
    <row r="9" customFormat="false" ht="15" hidden="false" customHeight="true" outlineLevel="0" collapsed="false">
      <c r="A9" s="17" t="str">
        <f aca="false">IF(C9="","","EVT-"&amp;TEXT(ROW()-3,"000"))</f>
        <v>EVT-006</v>
      </c>
      <c r="B9" s="18" t="s">
        <v>96</v>
      </c>
      <c r="C9" s="18" t="s">
        <v>97</v>
      </c>
      <c r="D9" s="18" t="s">
        <v>98</v>
      </c>
      <c r="E9" s="18" t="s">
        <v>92</v>
      </c>
      <c r="F9" s="19" t="s">
        <v>93</v>
      </c>
      <c r="G9" s="19" t="s">
        <v>94</v>
      </c>
      <c r="H9" s="18" t="s">
        <v>74</v>
      </c>
      <c r="I9" s="19" t="s">
        <v>67</v>
      </c>
      <c r="J9" s="18" t="s">
        <v>99</v>
      </c>
    </row>
    <row r="10" customFormat="false" ht="15" hidden="false" customHeight="true" outlineLevel="0" collapsed="false">
      <c r="A10" s="17" t="str">
        <f aca="false">IF(C10="","","EVT-"&amp;TEXT(ROW()-3,"000"))</f>
        <v>EVT-007</v>
      </c>
      <c r="B10" s="18" t="s">
        <v>100</v>
      </c>
      <c r="C10" s="18" t="s">
        <v>101</v>
      </c>
      <c r="D10" s="18" t="s">
        <v>102</v>
      </c>
      <c r="E10" s="18" t="s">
        <v>103</v>
      </c>
      <c r="F10" s="19" t="s">
        <v>80</v>
      </c>
      <c r="G10" s="19" t="s">
        <v>94</v>
      </c>
      <c r="H10" s="18" t="s">
        <v>81</v>
      </c>
      <c r="I10" s="19" t="s">
        <v>67</v>
      </c>
      <c r="J10" s="18" t="s">
        <v>104</v>
      </c>
    </row>
    <row r="11" customFormat="false" ht="15" hidden="false" customHeight="true" outlineLevel="0" collapsed="false">
      <c r="A11" s="17" t="str">
        <f aca="false">IF(C11="","","EVT-"&amp;TEXT(ROW()-3,"000"))</f>
        <v>EVT-008</v>
      </c>
      <c r="B11" s="18" t="s">
        <v>105</v>
      </c>
      <c r="C11" s="18" t="s">
        <v>106</v>
      </c>
      <c r="D11" s="18" t="s">
        <v>107</v>
      </c>
      <c r="E11" s="18"/>
      <c r="F11" s="19" t="s">
        <v>73</v>
      </c>
      <c r="G11" s="19" t="s">
        <v>94</v>
      </c>
      <c r="H11" s="18" t="s">
        <v>108</v>
      </c>
      <c r="I11" s="19" t="s">
        <v>67</v>
      </c>
      <c r="J11" s="18" t="s">
        <v>109</v>
      </c>
    </row>
    <row r="12" customFormat="false" ht="15" hidden="false" customHeight="true" outlineLevel="0" collapsed="false">
      <c r="A12" s="17" t="str">
        <f aca="false">IF(C12="","","EVT-"&amp;TEXT(ROW()-3,"000"))</f>
        <v>EVT-009</v>
      </c>
      <c r="B12" s="18" t="s">
        <v>110</v>
      </c>
      <c r="C12" s="18" t="s">
        <v>111</v>
      </c>
      <c r="D12" s="18" t="s">
        <v>112</v>
      </c>
      <c r="E12" s="18" t="s">
        <v>113</v>
      </c>
      <c r="F12" s="19" t="s">
        <v>114</v>
      </c>
      <c r="G12" s="19" t="s">
        <v>94</v>
      </c>
      <c r="H12" s="18" t="s">
        <v>81</v>
      </c>
      <c r="I12" s="19" t="s">
        <v>67</v>
      </c>
      <c r="J12" s="18" t="s">
        <v>115</v>
      </c>
    </row>
    <row r="13" customFormat="false" ht="15" hidden="false" customHeight="true" outlineLevel="0" collapsed="false">
      <c r="A13" s="17" t="str">
        <f aca="false">IF(C13="","","EVT-"&amp;TEXT(ROW()-3,"000"))</f>
        <v>EVT-010</v>
      </c>
      <c r="B13" s="18" t="s">
        <v>116</v>
      </c>
      <c r="C13" s="18" t="s">
        <v>117</v>
      </c>
      <c r="D13" s="18" t="s">
        <v>118</v>
      </c>
      <c r="E13" s="18"/>
      <c r="F13" s="19" t="s">
        <v>119</v>
      </c>
      <c r="G13" s="19" t="s">
        <v>94</v>
      </c>
      <c r="H13" s="18" t="s">
        <v>120</v>
      </c>
      <c r="I13" s="19" t="s">
        <v>67</v>
      </c>
      <c r="J13" s="18" t="s">
        <v>121</v>
      </c>
    </row>
    <row r="14" customFormat="false" ht="15" hidden="false" customHeight="true" outlineLevel="0" collapsed="false">
      <c r="A14" s="17" t="str">
        <f aca="false">IF(C14="","","EVT-"&amp;TEXT(ROW()-3,"000"))</f>
        <v/>
      </c>
      <c r="B14" s="18"/>
      <c r="C14" s="18"/>
      <c r="D14" s="18"/>
      <c r="E14" s="18"/>
      <c r="F14" s="19"/>
      <c r="G14" s="19"/>
      <c r="H14" s="18"/>
      <c r="I14" s="19"/>
      <c r="J14" s="18"/>
    </row>
    <row r="15" customFormat="false" ht="15" hidden="false" customHeight="true" outlineLevel="0" collapsed="false">
      <c r="A15" s="17" t="str">
        <f aca="false">IF(C15="","","EVT-"&amp;TEXT(ROW()-3,"000"))</f>
        <v/>
      </c>
      <c r="B15" s="18"/>
      <c r="C15" s="18"/>
      <c r="D15" s="18"/>
      <c r="E15" s="18"/>
      <c r="F15" s="19"/>
      <c r="G15" s="19"/>
      <c r="H15" s="18"/>
      <c r="I15" s="19"/>
      <c r="J15" s="18"/>
    </row>
    <row r="16" customFormat="false" ht="15" hidden="false" customHeight="true" outlineLevel="0" collapsed="false">
      <c r="A16" s="17" t="str">
        <f aca="false">IF(C16="","","EVT-"&amp;TEXT(ROW()-3,"000"))</f>
        <v/>
      </c>
      <c r="B16" s="18"/>
      <c r="C16" s="18"/>
      <c r="D16" s="18"/>
      <c r="E16" s="18"/>
      <c r="F16" s="19"/>
      <c r="G16" s="19"/>
      <c r="H16" s="18"/>
      <c r="I16" s="19"/>
      <c r="J16" s="18"/>
    </row>
    <row r="17" customFormat="false" ht="15" hidden="false" customHeight="true" outlineLevel="0" collapsed="false">
      <c r="A17" s="17" t="str">
        <f aca="false">IF(C17="","","EVT-"&amp;TEXT(ROW()-3,"000"))</f>
        <v/>
      </c>
      <c r="B17" s="18"/>
      <c r="C17" s="18"/>
      <c r="D17" s="18"/>
      <c r="E17" s="18"/>
      <c r="F17" s="19"/>
      <c r="G17" s="19"/>
      <c r="H17" s="18"/>
      <c r="I17" s="19"/>
      <c r="J17" s="18"/>
    </row>
    <row r="18" customFormat="false" ht="15" hidden="false" customHeight="true" outlineLevel="0" collapsed="false">
      <c r="A18" s="17" t="str">
        <f aca="false">IF(C18="","","EVT-"&amp;TEXT(ROW()-3,"000"))</f>
        <v/>
      </c>
      <c r="B18" s="18"/>
      <c r="C18" s="18"/>
      <c r="D18" s="18"/>
      <c r="E18" s="18"/>
      <c r="F18" s="19"/>
      <c r="G18" s="19"/>
      <c r="H18" s="18"/>
      <c r="I18" s="19"/>
      <c r="J18" s="18"/>
    </row>
    <row r="19" customFormat="false" ht="15" hidden="false" customHeight="true" outlineLevel="0" collapsed="false">
      <c r="A19" s="17" t="str">
        <f aca="false">IF(C19="","","EVT-"&amp;TEXT(ROW()-3,"000"))</f>
        <v/>
      </c>
      <c r="B19" s="18"/>
      <c r="C19" s="18"/>
      <c r="D19" s="18"/>
      <c r="E19" s="18"/>
      <c r="F19" s="19"/>
      <c r="G19" s="19"/>
      <c r="H19" s="18"/>
      <c r="I19" s="19"/>
      <c r="J19" s="18"/>
    </row>
    <row r="20" customFormat="false" ht="15" hidden="false" customHeight="true" outlineLevel="0" collapsed="false">
      <c r="A20" s="17" t="str">
        <f aca="false">IF(C20="","","EVT-"&amp;TEXT(ROW()-3,"000"))</f>
        <v/>
      </c>
      <c r="B20" s="18"/>
      <c r="C20" s="18"/>
      <c r="D20" s="18"/>
      <c r="E20" s="18"/>
      <c r="F20" s="19"/>
      <c r="G20" s="19"/>
      <c r="H20" s="18"/>
      <c r="I20" s="19"/>
      <c r="J20" s="18"/>
    </row>
    <row r="21" customFormat="false" ht="15" hidden="false" customHeight="true" outlineLevel="0" collapsed="false">
      <c r="A21" s="17" t="str">
        <f aca="false">IF(C21="","","EVT-"&amp;TEXT(ROW()-3,"000"))</f>
        <v/>
      </c>
      <c r="B21" s="18"/>
      <c r="C21" s="18"/>
      <c r="D21" s="18"/>
      <c r="E21" s="18"/>
      <c r="F21" s="19"/>
      <c r="G21" s="19"/>
      <c r="H21" s="18"/>
      <c r="I21" s="19"/>
      <c r="J21" s="18"/>
    </row>
    <row r="22" customFormat="false" ht="15" hidden="false" customHeight="true" outlineLevel="0" collapsed="false">
      <c r="A22" s="17" t="str">
        <f aca="false">IF(C22="","","EVT-"&amp;TEXT(ROW()-3,"000"))</f>
        <v/>
      </c>
      <c r="B22" s="18"/>
      <c r="C22" s="18"/>
      <c r="D22" s="18"/>
      <c r="E22" s="18"/>
      <c r="F22" s="19"/>
      <c r="G22" s="19"/>
      <c r="H22" s="18"/>
      <c r="I22" s="19"/>
      <c r="J22" s="18"/>
    </row>
    <row r="23" customFormat="false" ht="15" hidden="false" customHeight="true" outlineLevel="0" collapsed="false">
      <c r="A23" s="17" t="str">
        <f aca="false">IF(C23="","","EVT-"&amp;TEXT(ROW()-3,"000"))</f>
        <v/>
      </c>
      <c r="B23" s="18"/>
      <c r="C23" s="18"/>
      <c r="D23" s="18"/>
      <c r="E23" s="18"/>
      <c r="F23" s="19"/>
      <c r="G23" s="19"/>
      <c r="H23" s="18"/>
      <c r="I23" s="19"/>
      <c r="J23" s="18"/>
    </row>
  </sheetData>
  <mergeCells count="2">
    <mergeCell ref="A1:J1"/>
    <mergeCell ref="A2:J2"/>
  </mergeCells>
  <dataValidations count="40"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4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4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5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5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6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6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7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7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8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8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9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9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0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0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1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1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2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2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3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3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4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4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5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5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6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6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7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7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8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8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9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9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20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20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21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21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22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22" type="list">
      <formula1>"Aberta,Em verificação,Concluída,Superada por nova evidência"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23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23" type="list">
      <formula1>"Aberta,Em verificação,Concluída,Superada por nova evidência"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7" min="3" style="1" width="28"/>
    <col collapsed="false" customWidth="true" hidden="false" outlineLevel="0" max="8" min="8" style="1" width="20"/>
    <col collapsed="false" customWidth="true" hidden="false" outlineLevel="0" max="10" min="9" style="1" width="16"/>
    <col collapsed="false" customWidth="true" hidden="false" outlineLevel="0" max="11" min="11" style="1" width="26"/>
  </cols>
  <sheetData>
    <row r="1" customFormat="false" ht="33.75" hidden="false" customHeight="true" outlineLevel="0" collapsed="false">
      <c r="A1" s="2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12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31.5" hidden="false" customHeight="true" outlineLevel="0" collapsed="false">
      <c r="A3" s="16" t="s">
        <v>123</v>
      </c>
      <c r="B3" s="16" t="s">
        <v>124</v>
      </c>
      <c r="C3" s="16" t="s">
        <v>125</v>
      </c>
      <c r="D3" s="16" t="s">
        <v>126</v>
      </c>
      <c r="E3" s="16" t="s">
        <v>127</v>
      </c>
      <c r="F3" s="16" t="s">
        <v>128</v>
      </c>
      <c r="G3" s="16" t="s">
        <v>129</v>
      </c>
      <c r="H3" s="16" t="s">
        <v>130</v>
      </c>
      <c r="I3" s="16" t="s">
        <v>131</v>
      </c>
      <c r="J3" s="16" t="s">
        <v>51</v>
      </c>
      <c r="K3" s="16" t="s">
        <v>132</v>
      </c>
    </row>
    <row r="4" customFormat="false" ht="15" hidden="false" customHeight="true" outlineLevel="0" collapsed="false">
      <c r="A4" s="17" t="str">
        <f aca="false">IF(F4="","","DEC-"&amp;TEXT(ROW()-3,"000"))</f>
        <v>DEC-001</v>
      </c>
      <c r="B4" s="18" t="s">
        <v>133</v>
      </c>
      <c r="C4" s="18" t="s">
        <v>134</v>
      </c>
      <c r="D4" s="18" t="s">
        <v>135</v>
      </c>
      <c r="E4" s="18" t="s">
        <v>136</v>
      </c>
      <c r="F4" s="18" t="s">
        <v>137</v>
      </c>
      <c r="G4" s="18" t="s">
        <v>138</v>
      </c>
      <c r="H4" s="18" t="s">
        <v>139</v>
      </c>
      <c r="I4" s="18" t="s">
        <v>72</v>
      </c>
      <c r="J4" s="18" t="s">
        <v>69</v>
      </c>
      <c r="K4" s="18" t="s">
        <v>140</v>
      </c>
    </row>
    <row r="5" customFormat="false" ht="15" hidden="false" customHeight="true" outlineLevel="0" collapsed="false">
      <c r="A5" s="17" t="str">
        <f aca="false">IF(F5="","","DEC-"&amp;TEXT(ROW()-3,"000"))</f>
        <v>DEC-002</v>
      </c>
      <c r="B5" s="18" t="s">
        <v>133</v>
      </c>
      <c r="C5" s="18" t="s">
        <v>141</v>
      </c>
      <c r="D5" s="18" t="s">
        <v>142</v>
      </c>
      <c r="E5" s="18" t="s">
        <v>143</v>
      </c>
      <c r="F5" s="18" t="s">
        <v>144</v>
      </c>
      <c r="G5" s="18" t="s">
        <v>145</v>
      </c>
      <c r="H5" s="18" t="s">
        <v>120</v>
      </c>
      <c r="I5" s="18" t="s">
        <v>92</v>
      </c>
      <c r="J5" s="18" t="s">
        <v>89</v>
      </c>
      <c r="K5" s="18" t="s">
        <v>146</v>
      </c>
    </row>
    <row r="6" customFormat="false" ht="15" hidden="false" customHeight="true" outlineLevel="0" collapsed="false">
      <c r="A6" s="17" t="str">
        <f aca="false">IF(F6="","","DEC-"&amp;TEXT(ROW()-3,"000"))</f>
        <v>DEC-003</v>
      </c>
      <c r="B6" s="18" t="s">
        <v>133</v>
      </c>
      <c r="C6" s="18" t="s">
        <v>147</v>
      </c>
      <c r="D6" s="18" t="s">
        <v>148</v>
      </c>
      <c r="E6" s="18" t="s">
        <v>149</v>
      </c>
      <c r="F6" s="18" t="s">
        <v>150</v>
      </c>
      <c r="G6" s="18" t="s">
        <v>151</v>
      </c>
      <c r="H6" s="18" t="s">
        <v>152</v>
      </c>
      <c r="I6" s="18" t="s">
        <v>92</v>
      </c>
      <c r="J6" s="18" t="s">
        <v>105</v>
      </c>
      <c r="K6" s="18" t="s">
        <v>153</v>
      </c>
    </row>
    <row r="7" customFormat="false" ht="15" hidden="false" customHeight="true" outlineLevel="0" collapsed="false">
      <c r="A7" s="17" t="str">
        <f aca="false">IF(F7="","","DEC-"&amp;TEXT(ROW()-3,"000"))</f>
        <v>DEC-004</v>
      </c>
      <c r="B7" s="18" t="s">
        <v>133</v>
      </c>
      <c r="C7" s="18" t="s">
        <v>154</v>
      </c>
      <c r="D7" s="18" t="s">
        <v>155</v>
      </c>
      <c r="E7" s="18" t="s">
        <v>156</v>
      </c>
      <c r="F7" s="18" t="s">
        <v>157</v>
      </c>
      <c r="G7" s="18" t="s">
        <v>158</v>
      </c>
      <c r="H7" s="18" t="s">
        <v>159</v>
      </c>
      <c r="I7" s="18" t="s">
        <v>160</v>
      </c>
      <c r="J7" s="18" t="s">
        <v>116</v>
      </c>
      <c r="K7" s="18" t="s">
        <v>161</v>
      </c>
    </row>
    <row r="8" customFormat="false" ht="15" hidden="false" customHeight="true" outlineLevel="0" collapsed="false">
      <c r="A8" s="17" t="str">
        <f aca="false">IF(F8="","","DEC-"&amp;TEXT(ROW()-3,"000"))</f>
        <v/>
      </c>
      <c r="B8" s="18"/>
      <c r="C8" s="18"/>
      <c r="D8" s="18"/>
      <c r="E8" s="18"/>
      <c r="F8" s="18"/>
      <c r="G8" s="18"/>
      <c r="H8" s="18"/>
      <c r="I8" s="18"/>
      <c r="J8" s="18"/>
      <c r="K8" s="18"/>
    </row>
    <row r="9" customFormat="false" ht="15" hidden="false" customHeight="true" outlineLevel="0" collapsed="false">
      <c r="A9" s="17" t="str">
        <f aca="false">IF(F9="","","DEC-"&amp;TEXT(ROW()-3,"000"))</f>
        <v/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customFormat="false" ht="15" hidden="false" customHeight="true" outlineLevel="0" collapsed="false">
      <c r="A10" s="17" t="str">
        <f aca="false">IF(F10="","","DEC-"&amp;TEXT(ROW()-3,"000"))</f>
        <v/>
      </c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customFormat="false" ht="15" hidden="false" customHeight="true" outlineLevel="0" collapsed="false">
      <c r="A11" s="17" t="str">
        <f aca="false">IF(F11="","","DEC-"&amp;TEXT(ROW()-3,"000"))</f>
        <v/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customFormat="false" ht="15" hidden="false" customHeight="true" outlineLevel="0" collapsed="false">
      <c r="A12" s="17" t="str">
        <f aca="false">IF(F12="","","DEC-"&amp;TEXT(ROW()-3,"000"))</f>
        <v/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15" hidden="false" customHeight="true" outlineLevel="0" collapsed="false">
      <c r="A13" s="17" t="str">
        <f aca="false">IF(F13="","","DEC-"&amp;TEXT(ROW()-3,"000"))</f>
        <v/>
      </c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customFormat="false" ht="15" hidden="false" customHeight="true" outlineLevel="0" collapsed="false">
      <c r="A14" s="17" t="str">
        <f aca="false">IF(F14="","","DEC-"&amp;TEXT(ROW()-3,"000"))</f>
        <v/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customFormat="false" ht="15" hidden="false" customHeight="true" outlineLevel="0" collapsed="false">
      <c r="A15" s="17" t="str">
        <f aca="false">IF(F15="","","DEC-"&amp;TEXT(ROW()-3,"000"))</f>
        <v/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customFormat="false" ht="15" hidden="false" customHeight="true" outlineLevel="0" collapsed="false">
      <c r="A16" s="17" t="str">
        <f aca="false">IF(F16="","","DEC-"&amp;TEXT(ROW()-3,"000"))</f>
        <v/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15" hidden="false" customHeight="true" outlineLevel="0" collapsed="false">
      <c r="A17" s="17" t="str">
        <f aca="false">IF(F17="","","DEC-"&amp;TEXT(ROW()-3,"000"))</f>
        <v/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customFormat="false" ht="15" hidden="false" customHeight="true" outlineLevel="0" collapsed="false">
      <c r="A18" s="17" t="str">
        <f aca="false">IF(F18="","","DEC-"&amp;TEXT(ROW()-3,"000"))</f>
        <v/>
      </c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customFormat="false" ht="15" hidden="false" customHeight="true" outlineLevel="0" collapsed="false">
      <c r="A19" s="17" t="str">
        <f aca="false">IF(F19="","","DEC-"&amp;TEXT(ROW()-3,"000"))</f>
        <v/>
      </c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customFormat="false" ht="15" hidden="false" customHeight="true" outlineLevel="0" collapsed="false">
      <c r="A20" s="17" t="str">
        <f aca="false">IF(F20="","","DEC-"&amp;TEXT(ROW()-3,"000"))</f>
        <v/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customFormat="false" ht="15" hidden="false" customHeight="true" outlineLevel="0" collapsed="false">
      <c r="A21" s="17" t="str">
        <f aca="false">IF(F21="","","DEC-"&amp;TEXT(ROW()-3,"000"))</f>
        <v/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customFormat="false" ht="15" hidden="false" customHeight="true" outlineLevel="0" collapsed="false">
      <c r="A22" s="17" t="str">
        <f aca="false">IF(F22="","","DEC-"&amp;TEXT(ROW()-3,"000"))</f>
        <v/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customFormat="false" ht="15" hidden="false" customHeight="true" outlineLevel="0" collapsed="false">
      <c r="A23" s="17" t="str">
        <f aca="false">IF(F23="","","DEC-"&amp;TEXT(ROW()-3,"000"))</f>
        <v/>
      </c>
      <c r="B23" s="18"/>
      <c r="C23" s="18"/>
      <c r="D23" s="18"/>
      <c r="E23" s="18"/>
      <c r="F23" s="18"/>
      <c r="G23" s="18"/>
      <c r="H23" s="18"/>
      <c r="I23" s="18"/>
      <c r="J23" s="18"/>
      <c r="K23" s="18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24"/>
    <col collapsed="false" customWidth="true" hidden="false" outlineLevel="0" max="7" min="7" style="1" width="16"/>
    <col collapsed="false" customWidth="true" hidden="false" outlineLevel="0" max="8" min="8" style="1" width="24"/>
    <col collapsed="false" customWidth="true" hidden="false" outlineLevel="0" max="9" min="9" style="1" width="28"/>
    <col collapsed="false" customWidth="true" hidden="false" outlineLevel="0" max="10" min="10" style="1" width="22"/>
  </cols>
  <sheetData>
    <row r="1" customFormat="false" ht="33.75" hidden="false" customHeight="true" outlineLevel="0" collapsed="false">
      <c r="A1" s="2" t="s">
        <v>162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12" t="s">
        <v>26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31.5" hidden="false" customHeight="true" outlineLevel="0" collapsed="false">
      <c r="A3" s="16" t="s">
        <v>163</v>
      </c>
      <c r="B3" s="16" t="s">
        <v>164</v>
      </c>
      <c r="C3" s="16" t="s">
        <v>165</v>
      </c>
      <c r="D3" s="16" t="s">
        <v>166</v>
      </c>
      <c r="E3" s="16" t="s">
        <v>57</v>
      </c>
      <c r="F3" s="16" t="s">
        <v>167</v>
      </c>
      <c r="G3" s="16" t="s">
        <v>168</v>
      </c>
      <c r="H3" s="16" t="s">
        <v>169</v>
      </c>
      <c r="I3" s="16" t="s">
        <v>170</v>
      </c>
      <c r="J3" s="16" t="s">
        <v>171</v>
      </c>
    </row>
    <row r="4" customFormat="false" ht="15" hidden="false" customHeight="true" outlineLevel="0" collapsed="false">
      <c r="A4" s="17" t="str">
        <f aca="false">IF(B4="","","EVD-"&amp;TEXT(ROW()-3,"000"))</f>
        <v>EVD-001</v>
      </c>
      <c r="B4" s="18" t="s">
        <v>172</v>
      </c>
      <c r="C4" s="18" t="s">
        <v>62</v>
      </c>
      <c r="D4" s="18" t="s">
        <v>173</v>
      </c>
      <c r="E4" s="18" t="s">
        <v>66</v>
      </c>
      <c r="F4" s="18" t="s">
        <v>174</v>
      </c>
      <c r="G4" s="19" t="s">
        <v>175</v>
      </c>
      <c r="H4" s="18" t="s">
        <v>176</v>
      </c>
      <c r="I4" s="18" t="s">
        <v>177</v>
      </c>
      <c r="J4" s="18" t="s">
        <v>178</v>
      </c>
    </row>
    <row r="5" customFormat="false" ht="15" hidden="false" customHeight="true" outlineLevel="0" collapsed="false">
      <c r="A5" s="17" t="str">
        <f aca="false">IF(B5="","","EVD-"&amp;TEXT(ROW()-3,"000"))</f>
        <v>EVD-002</v>
      </c>
      <c r="B5" s="18" t="s">
        <v>179</v>
      </c>
      <c r="C5" s="18" t="s">
        <v>180</v>
      </c>
      <c r="D5" s="18" t="s">
        <v>181</v>
      </c>
      <c r="E5" s="18" t="s">
        <v>74</v>
      </c>
      <c r="F5" s="18" t="s">
        <v>182</v>
      </c>
      <c r="G5" s="19" t="s">
        <v>175</v>
      </c>
      <c r="H5" s="18" t="s">
        <v>183</v>
      </c>
      <c r="I5" s="18" t="s">
        <v>74</v>
      </c>
      <c r="J5" s="18" t="s">
        <v>184</v>
      </c>
    </row>
    <row r="6" customFormat="false" ht="15" hidden="false" customHeight="true" outlineLevel="0" collapsed="false">
      <c r="A6" s="17" t="str">
        <f aca="false">IF(B6="","","EVD-"&amp;TEXT(ROW()-3,"000"))</f>
        <v>EVD-003</v>
      </c>
      <c r="B6" s="18" t="s">
        <v>185</v>
      </c>
      <c r="C6" s="18" t="s">
        <v>78</v>
      </c>
      <c r="D6" s="18" t="s">
        <v>186</v>
      </c>
      <c r="E6" s="18" t="s">
        <v>81</v>
      </c>
      <c r="F6" s="18" t="s">
        <v>187</v>
      </c>
      <c r="G6" s="19" t="s">
        <v>175</v>
      </c>
      <c r="H6" s="18" t="s">
        <v>183</v>
      </c>
      <c r="I6" s="18" t="s">
        <v>81</v>
      </c>
      <c r="J6" s="18" t="s">
        <v>178</v>
      </c>
    </row>
    <row r="7" customFormat="false" ht="15" hidden="false" customHeight="true" outlineLevel="0" collapsed="false">
      <c r="A7" s="17" t="str">
        <f aca="false">IF(B7="","","EVD-"&amp;TEXT(ROW()-3,"000"))</f>
        <v>EVD-004</v>
      </c>
      <c r="B7" s="18" t="s">
        <v>188</v>
      </c>
      <c r="C7" s="18" t="s">
        <v>98</v>
      </c>
      <c r="D7" s="18" t="s">
        <v>189</v>
      </c>
      <c r="E7" s="18" t="s">
        <v>74</v>
      </c>
      <c r="F7" s="18" t="s">
        <v>190</v>
      </c>
      <c r="G7" s="19" t="s">
        <v>175</v>
      </c>
      <c r="H7" s="18" t="s">
        <v>183</v>
      </c>
      <c r="I7" s="18" t="s">
        <v>74</v>
      </c>
      <c r="J7" s="18" t="s">
        <v>191</v>
      </c>
    </row>
    <row r="8" customFormat="false" ht="15" hidden="false" customHeight="true" outlineLevel="0" collapsed="false">
      <c r="A8" s="17" t="str">
        <f aca="false">IF(B8="","","EVD-"&amp;TEXT(ROW()-3,"000"))</f>
        <v>EVD-005</v>
      </c>
      <c r="B8" s="18" t="s">
        <v>192</v>
      </c>
      <c r="C8" s="18" t="s">
        <v>102</v>
      </c>
      <c r="D8" s="18" t="s">
        <v>193</v>
      </c>
      <c r="E8" s="18" t="s">
        <v>81</v>
      </c>
      <c r="F8" s="18" t="s">
        <v>187</v>
      </c>
      <c r="G8" s="19" t="s">
        <v>175</v>
      </c>
      <c r="H8" s="18" t="s">
        <v>183</v>
      </c>
      <c r="I8" s="18" t="s">
        <v>81</v>
      </c>
      <c r="J8" s="18" t="s">
        <v>178</v>
      </c>
    </row>
    <row r="9" customFormat="false" ht="15" hidden="false" customHeight="true" outlineLevel="0" collapsed="false">
      <c r="A9" s="17" t="str">
        <f aca="false">IF(B9="","","EVD-"&amp;TEXT(ROW()-3,"000"))</f>
        <v>EVD-006</v>
      </c>
      <c r="B9" s="18" t="s">
        <v>194</v>
      </c>
      <c r="C9" s="18" t="s">
        <v>195</v>
      </c>
      <c r="D9" s="18" t="s">
        <v>110</v>
      </c>
      <c r="E9" s="18" t="s">
        <v>74</v>
      </c>
      <c r="F9" s="18" t="s">
        <v>190</v>
      </c>
      <c r="G9" s="19" t="s">
        <v>196</v>
      </c>
      <c r="H9" s="18" t="s">
        <v>183</v>
      </c>
      <c r="I9" s="18" t="s">
        <v>74</v>
      </c>
      <c r="J9" s="18" t="s">
        <v>184</v>
      </c>
    </row>
    <row r="10" customFormat="false" ht="15" hidden="false" customHeight="true" outlineLevel="0" collapsed="false">
      <c r="A10" s="17" t="str">
        <f aca="false">IF(B10="","","EVD-"&amp;TEXT(ROW()-3,"000"))</f>
        <v/>
      </c>
      <c r="B10" s="18"/>
      <c r="C10" s="18"/>
      <c r="D10" s="18"/>
      <c r="E10" s="18"/>
      <c r="F10" s="18"/>
      <c r="G10" s="19"/>
      <c r="H10" s="18"/>
      <c r="I10" s="18"/>
      <c r="J10" s="18"/>
    </row>
    <row r="11" customFormat="false" ht="15" hidden="false" customHeight="true" outlineLevel="0" collapsed="false">
      <c r="A11" s="17" t="str">
        <f aca="false">IF(B11="","","EVD-"&amp;TEXT(ROW()-3,"000"))</f>
        <v/>
      </c>
      <c r="B11" s="18"/>
      <c r="C11" s="18"/>
      <c r="D11" s="18"/>
      <c r="E11" s="18"/>
      <c r="F11" s="18"/>
      <c r="G11" s="19"/>
      <c r="H11" s="18"/>
      <c r="I11" s="18"/>
      <c r="J11" s="18"/>
    </row>
    <row r="12" customFormat="false" ht="15" hidden="false" customHeight="true" outlineLevel="0" collapsed="false">
      <c r="A12" s="17" t="str">
        <f aca="false">IF(B12="","","EVD-"&amp;TEXT(ROW()-3,"000"))</f>
        <v/>
      </c>
      <c r="B12" s="18"/>
      <c r="C12" s="18"/>
      <c r="D12" s="18"/>
      <c r="E12" s="18"/>
      <c r="F12" s="18"/>
      <c r="G12" s="19"/>
      <c r="H12" s="18"/>
      <c r="I12" s="18"/>
      <c r="J12" s="18"/>
    </row>
    <row r="13" customFormat="false" ht="15" hidden="false" customHeight="true" outlineLevel="0" collapsed="false">
      <c r="A13" s="17" t="str">
        <f aca="false">IF(B13="","","EVD-"&amp;TEXT(ROW()-3,"000"))</f>
        <v/>
      </c>
      <c r="B13" s="18"/>
      <c r="C13" s="18"/>
      <c r="D13" s="18"/>
      <c r="E13" s="18"/>
      <c r="F13" s="18"/>
      <c r="G13" s="19"/>
      <c r="H13" s="18"/>
      <c r="I13" s="18"/>
      <c r="J13" s="18"/>
    </row>
    <row r="14" customFormat="false" ht="15" hidden="false" customHeight="true" outlineLevel="0" collapsed="false">
      <c r="A14" s="17" t="str">
        <f aca="false">IF(B14="","","EVD-"&amp;TEXT(ROW()-3,"000"))</f>
        <v/>
      </c>
      <c r="B14" s="18"/>
      <c r="C14" s="18"/>
      <c r="D14" s="18"/>
      <c r="E14" s="18"/>
      <c r="F14" s="18"/>
      <c r="G14" s="19"/>
      <c r="H14" s="18"/>
      <c r="I14" s="18"/>
      <c r="J14" s="18"/>
    </row>
    <row r="15" customFormat="false" ht="15" hidden="false" customHeight="true" outlineLevel="0" collapsed="false">
      <c r="A15" s="17" t="str">
        <f aca="false">IF(B15="","","EVD-"&amp;TEXT(ROW()-3,"000"))</f>
        <v/>
      </c>
      <c r="B15" s="18"/>
      <c r="C15" s="18"/>
      <c r="D15" s="18"/>
      <c r="E15" s="18"/>
      <c r="F15" s="18"/>
      <c r="G15" s="19"/>
      <c r="H15" s="18"/>
      <c r="I15" s="18"/>
      <c r="J15" s="18"/>
    </row>
    <row r="16" customFormat="false" ht="15" hidden="false" customHeight="true" outlineLevel="0" collapsed="false">
      <c r="A16" s="17" t="str">
        <f aca="false">IF(B16="","","EVD-"&amp;TEXT(ROW()-3,"000"))</f>
        <v/>
      </c>
      <c r="B16" s="18"/>
      <c r="C16" s="18"/>
      <c r="D16" s="18"/>
      <c r="E16" s="18"/>
      <c r="F16" s="18"/>
      <c r="G16" s="19"/>
      <c r="H16" s="18"/>
      <c r="I16" s="18"/>
      <c r="J16" s="18"/>
    </row>
    <row r="17" customFormat="false" ht="15" hidden="false" customHeight="true" outlineLevel="0" collapsed="false">
      <c r="A17" s="17" t="str">
        <f aca="false">IF(B17="","","EVD-"&amp;TEXT(ROW()-3,"000"))</f>
        <v/>
      </c>
      <c r="B17" s="18"/>
      <c r="C17" s="18"/>
      <c r="D17" s="18"/>
      <c r="E17" s="18"/>
      <c r="F17" s="18"/>
      <c r="G17" s="19"/>
      <c r="H17" s="18"/>
      <c r="I17" s="18"/>
      <c r="J17" s="18"/>
    </row>
    <row r="18" customFormat="false" ht="15" hidden="false" customHeight="true" outlineLevel="0" collapsed="false">
      <c r="A18" s="17" t="str">
        <f aca="false">IF(B18="","","EVD-"&amp;TEXT(ROW()-3,"000"))</f>
        <v/>
      </c>
      <c r="B18" s="18"/>
      <c r="C18" s="18"/>
      <c r="D18" s="18"/>
      <c r="E18" s="18"/>
      <c r="F18" s="18"/>
      <c r="G18" s="19"/>
      <c r="H18" s="18"/>
      <c r="I18" s="18"/>
      <c r="J18" s="18"/>
    </row>
    <row r="19" customFormat="false" ht="15" hidden="false" customHeight="true" outlineLevel="0" collapsed="false">
      <c r="A19" s="17" t="str">
        <f aca="false">IF(B19="","","EVD-"&amp;TEXT(ROW()-3,"000"))</f>
        <v/>
      </c>
      <c r="B19" s="18"/>
      <c r="C19" s="18"/>
      <c r="D19" s="18"/>
      <c r="E19" s="18"/>
      <c r="F19" s="18"/>
      <c r="G19" s="19"/>
      <c r="H19" s="18"/>
      <c r="I19" s="18"/>
      <c r="J19" s="18"/>
    </row>
    <row r="20" customFormat="false" ht="15" hidden="false" customHeight="true" outlineLevel="0" collapsed="false">
      <c r="A20" s="17" t="str">
        <f aca="false">IF(B20="","","EVD-"&amp;TEXT(ROW()-3,"000"))</f>
        <v/>
      </c>
      <c r="B20" s="18"/>
      <c r="C20" s="18"/>
      <c r="D20" s="18"/>
      <c r="E20" s="18"/>
      <c r="F20" s="18"/>
      <c r="G20" s="19"/>
      <c r="H20" s="18"/>
      <c r="I20" s="18"/>
      <c r="J20" s="18"/>
    </row>
    <row r="21" customFormat="false" ht="15" hidden="false" customHeight="true" outlineLevel="0" collapsed="false">
      <c r="A21" s="17" t="str">
        <f aca="false">IF(B21="","","EVD-"&amp;TEXT(ROW()-3,"000"))</f>
        <v/>
      </c>
      <c r="B21" s="18"/>
      <c r="C21" s="18"/>
      <c r="D21" s="18"/>
      <c r="E21" s="18"/>
      <c r="F21" s="18"/>
      <c r="G21" s="19"/>
      <c r="H21" s="18"/>
      <c r="I21" s="18"/>
      <c r="J21" s="18"/>
    </row>
    <row r="22" customFormat="false" ht="15" hidden="false" customHeight="true" outlineLevel="0" collapsed="false">
      <c r="A22" s="17" t="str">
        <f aca="false">IF(B22="","","EVD-"&amp;TEXT(ROW()-3,"000"))</f>
        <v/>
      </c>
      <c r="B22" s="18"/>
      <c r="C22" s="18"/>
      <c r="D22" s="18"/>
      <c r="E22" s="18"/>
      <c r="F22" s="18"/>
      <c r="G22" s="19"/>
      <c r="H22" s="18"/>
      <c r="I22" s="18"/>
      <c r="J22" s="18"/>
    </row>
    <row r="23" customFormat="false" ht="15" hidden="false" customHeight="true" outlineLevel="0" collapsed="false">
      <c r="A23" s="17" t="str">
        <f aca="false">IF(B23="","","EVD-"&amp;TEXT(ROW()-3,"000"))</f>
        <v/>
      </c>
      <c r="B23" s="18"/>
      <c r="C23" s="18"/>
      <c r="D23" s="18"/>
      <c r="E23" s="18"/>
      <c r="F23" s="18"/>
      <c r="G23" s="19"/>
      <c r="H23" s="18"/>
      <c r="I23" s="18"/>
      <c r="J23" s="18"/>
    </row>
  </sheetData>
  <mergeCells count="2">
    <mergeCell ref="A1:J1"/>
    <mergeCell ref="A2:J2"/>
  </mergeCells>
  <dataValidations count="20"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4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5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6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7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8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9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0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1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2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3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4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5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6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7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8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9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20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21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22" type="list">
      <formula1>"Sim,Não,Parcial,Não informado"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23" type="list">
      <formula1>"Sim,Não,Parcial,Não informado"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1" min="11" style="1" width="24"/>
  </cols>
  <sheetData>
    <row r="1" customFormat="false" ht="33.75" hidden="false" customHeight="true" outlineLevel="0" collapsed="false">
      <c r="A1" s="2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12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31.5" hidden="false" customHeight="true" outlineLevel="0" collapsed="false">
      <c r="A3" s="16" t="s">
        <v>198</v>
      </c>
      <c r="B3" s="16" t="s">
        <v>199</v>
      </c>
      <c r="C3" s="16" t="s">
        <v>200</v>
      </c>
      <c r="D3" s="16" t="s">
        <v>201</v>
      </c>
      <c r="E3" s="16" t="s">
        <v>56</v>
      </c>
      <c r="F3" s="16" t="s">
        <v>202</v>
      </c>
      <c r="G3" s="16" t="s">
        <v>57</v>
      </c>
      <c r="H3" s="16" t="s">
        <v>203</v>
      </c>
      <c r="I3" s="16" t="s">
        <v>204</v>
      </c>
      <c r="J3" s="16" t="s">
        <v>205</v>
      </c>
      <c r="K3" s="16" t="s">
        <v>206</v>
      </c>
    </row>
    <row r="4" customFormat="false" ht="15" hidden="false" customHeight="true" outlineLevel="0" collapsed="false">
      <c r="A4" s="17" t="str">
        <f aca="false">IF(B4="","","ACA-"&amp;TEXT(ROW()-3,"000"))</f>
        <v>ACA-001</v>
      </c>
      <c r="B4" s="18" t="s">
        <v>207</v>
      </c>
      <c r="C4" s="19" t="s">
        <v>208</v>
      </c>
      <c r="D4" s="19" t="s">
        <v>80</v>
      </c>
      <c r="E4" s="19" t="s">
        <v>94</v>
      </c>
      <c r="F4" s="19" t="s">
        <v>42</v>
      </c>
      <c r="G4" s="18" t="s">
        <v>81</v>
      </c>
      <c r="H4" s="18" t="s">
        <v>209</v>
      </c>
      <c r="I4" s="19" t="s">
        <v>67</v>
      </c>
      <c r="J4" s="19" t="s">
        <v>103</v>
      </c>
      <c r="K4" s="18" t="s">
        <v>210</v>
      </c>
    </row>
    <row r="5" customFormat="false" ht="15" hidden="false" customHeight="true" outlineLevel="0" collapsed="false">
      <c r="A5" s="17" t="str">
        <f aca="false">IF(B5="","","ACA-"&amp;TEXT(ROW()-3,"000"))</f>
        <v>ACA-002</v>
      </c>
      <c r="B5" s="18" t="s">
        <v>211</v>
      </c>
      <c r="C5" s="19" t="s">
        <v>212</v>
      </c>
      <c r="D5" s="19" t="s">
        <v>114</v>
      </c>
      <c r="E5" s="19" t="s">
        <v>94</v>
      </c>
      <c r="F5" s="19" t="s">
        <v>213</v>
      </c>
      <c r="G5" s="18" t="s">
        <v>74</v>
      </c>
      <c r="H5" s="18" t="s">
        <v>209</v>
      </c>
      <c r="I5" s="19" t="s">
        <v>67</v>
      </c>
      <c r="J5" s="19" t="s">
        <v>113</v>
      </c>
      <c r="K5" s="18" t="s">
        <v>214</v>
      </c>
    </row>
    <row r="6" customFormat="false" ht="15" hidden="false" customHeight="true" outlineLevel="0" collapsed="false">
      <c r="A6" s="17" t="str">
        <f aca="false">IF(B6="","","ACA-"&amp;TEXT(ROW()-3,"000"))</f>
        <v>ACA-003</v>
      </c>
      <c r="B6" s="18" t="s">
        <v>215</v>
      </c>
      <c r="C6" s="19" t="s">
        <v>216</v>
      </c>
      <c r="D6" s="19" t="s">
        <v>93</v>
      </c>
      <c r="E6" s="19" t="s">
        <v>94</v>
      </c>
      <c r="F6" s="19" t="s">
        <v>42</v>
      </c>
      <c r="G6" s="18" t="s">
        <v>217</v>
      </c>
      <c r="H6" s="18" t="s">
        <v>209</v>
      </c>
      <c r="I6" s="19" t="s">
        <v>67</v>
      </c>
      <c r="J6" s="19" t="s">
        <v>218</v>
      </c>
      <c r="K6" s="18" t="s">
        <v>219</v>
      </c>
    </row>
    <row r="7" customFormat="false" ht="15" hidden="false" customHeight="true" outlineLevel="0" collapsed="false">
      <c r="A7" s="17" t="str">
        <f aca="false">IF(B7="","","ACA-"&amp;TEXT(ROW()-3,"000"))</f>
        <v>ACA-004</v>
      </c>
      <c r="B7" s="18" t="s">
        <v>220</v>
      </c>
      <c r="C7" s="19" t="s">
        <v>221</v>
      </c>
      <c r="D7" s="19" t="s">
        <v>119</v>
      </c>
      <c r="E7" s="19"/>
      <c r="F7" s="19" t="s">
        <v>42</v>
      </c>
      <c r="G7" s="18" t="s">
        <v>81</v>
      </c>
      <c r="H7" s="18" t="s">
        <v>222</v>
      </c>
      <c r="I7" s="19" t="s">
        <v>223</v>
      </c>
      <c r="J7" s="19"/>
      <c r="K7" s="18" t="s">
        <v>224</v>
      </c>
    </row>
    <row r="8" customFormat="false" ht="15" hidden="false" customHeight="true" outlineLevel="0" collapsed="false">
      <c r="A8" s="17" t="str">
        <f aca="false">IF(B8="","","ACA-"&amp;TEXT(ROW()-3,"000"))</f>
        <v>ACA-005</v>
      </c>
      <c r="B8" s="18" t="s">
        <v>225</v>
      </c>
      <c r="C8" s="19" t="s">
        <v>221</v>
      </c>
      <c r="D8" s="19" t="s">
        <v>119</v>
      </c>
      <c r="E8" s="19"/>
      <c r="F8" s="19" t="s">
        <v>213</v>
      </c>
      <c r="G8" s="18" t="s">
        <v>87</v>
      </c>
      <c r="H8" s="18" t="s">
        <v>222</v>
      </c>
      <c r="I8" s="19" t="s">
        <v>223</v>
      </c>
      <c r="J8" s="19"/>
      <c r="K8" s="18" t="s">
        <v>224</v>
      </c>
    </row>
    <row r="9" customFormat="false" ht="15" hidden="false" customHeight="true" outlineLevel="0" collapsed="false">
      <c r="A9" s="17" t="str">
        <f aca="false">IF(B9="","","ACA-"&amp;TEXT(ROW()-3,"000"))</f>
        <v>ACA-006</v>
      </c>
      <c r="B9" s="18" t="s">
        <v>226</v>
      </c>
      <c r="C9" s="19" t="s">
        <v>221</v>
      </c>
      <c r="D9" s="19" t="s">
        <v>119</v>
      </c>
      <c r="E9" s="19"/>
      <c r="F9" s="19" t="s">
        <v>213</v>
      </c>
      <c r="G9" s="18" t="s">
        <v>66</v>
      </c>
      <c r="H9" s="18" t="s">
        <v>222</v>
      </c>
      <c r="I9" s="19" t="s">
        <v>223</v>
      </c>
      <c r="J9" s="19"/>
      <c r="K9" s="18" t="s">
        <v>224</v>
      </c>
    </row>
    <row r="10" customFormat="false" ht="15" hidden="false" customHeight="true" outlineLevel="0" collapsed="false">
      <c r="A10" s="17" t="str">
        <f aca="false">IF(B10="","","ACA-"&amp;TEXT(ROW()-3,"000"))</f>
        <v/>
      </c>
      <c r="B10" s="18"/>
      <c r="C10" s="19"/>
      <c r="D10" s="19"/>
      <c r="E10" s="19"/>
      <c r="F10" s="19"/>
      <c r="G10" s="18"/>
      <c r="H10" s="18"/>
      <c r="I10" s="19"/>
      <c r="J10" s="19"/>
      <c r="K10" s="18"/>
    </row>
    <row r="11" customFormat="false" ht="15" hidden="false" customHeight="true" outlineLevel="0" collapsed="false">
      <c r="A11" s="17" t="str">
        <f aca="false">IF(B11="","","ACA-"&amp;TEXT(ROW()-3,"000"))</f>
        <v/>
      </c>
      <c r="B11" s="18"/>
      <c r="C11" s="19"/>
      <c r="D11" s="19"/>
      <c r="E11" s="19"/>
      <c r="F11" s="19"/>
      <c r="G11" s="18"/>
      <c r="H11" s="18"/>
      <c r="I11" s="19"/>
      <c r="J11" s="19"/>
      <c r="K11" s="18"/>
    </row>
    <row r="12" customFormat="false" ht="15" hidden="false" customHeight="true" outlineLevel="0" collapsed="false">
      <c r="A12" s="17" t="str">
        <f aca="false">IF(B12="","","ACA-"&amp;TEXT(ROW()-3,"000"))</f>
        <v/>
      </c>
      <c r="B12" s="18"/>
      <c r="C12" s="19"/>
      <c r="D12" s="19"/>
      <c r="E12" s="19"/>
      <c r="F12" s="19"/>
      <c r="G12" s="18"/>
      <c r="H12" s="18"/>
      <c r="I12" s="19"/>
      <c r="J12" s="19"/>
      <c r="K12" s="18"/>
    </row>
    <row r="13" customFormat="false" ht="15" hidden="false" customHeight="true" outlineLevel="0" collapsed="false">
      <c r="A13" s="17" t="str">
        <f aca="false">IF(B13="","","ACA-"&amp;TEXT(ROW()-3,"000"))</f>
        <v/>
      </c>
      <c r="B13" s="18"/>
      <c r="C13" s="19"/>
      <c r="D13" s="19"/>
      <c r="E13" s="19"/>
      <c r="F13" s="19"/>
      <c r="G13" s="18"/>
      <c r="H13" s="18"/>
      <c r="I13" s="19"/>
      <c r="J13" s="19"/>
      <c r="K13" s="18"/>
    </row>
    <row r="14" customFormat="false" ht="15" hidden="false" customHeight="true" outlineLevel="0" collapsed="false">
      <c r="A14" s="17" t="str">
        <f aca="false">IF(B14="","","ACA-"&amp;TEXT(ROW()-3,"000"))</f>
        <v/>
      </c>
      <c r="B14" s="18"/>
      <c r="C14" s="19"/>
      <c r="D14" s="19"/>
      <c r="E14" s="19"/>
      <c r="F14" s="19"/>
      <c r="G14" s="18"/>
      <c r="H14" s="18"/>
      <c r="I14" s="19"/>
      <c r="J14" s="19"/>
      <c r="K14" s="18"/>
    </row>
    <row r="15" customFormat="false" ht="15" hidden="false" customHeight="true" outlineLevel="0" collapsed="false">
      <c r="A15" s="17" t="str">
        <f aca="false">IF(B15="","","ACA-"&amp;TEXT(ROW()-3,"000"))</f>
        <v/>
      </c>
      <c r="B15" s="18"/>
      <c r="C15" s="19"/>
      <c r="D15" s="19"/>
      <c r="E15" s="19"/>
      <c r="F15" s="19"/>
      <c r="G15" s="18"/>
      <c r="H15" s="18"/>
      <c r="I15" s="19"/>
      <c r="J15" s="19"/>
      <c r="K15" s="18"/>
    </row>
    <row r="16" customFormat="false" ht="15" hidden="false" customHeight="true" outlineLevel="0" collapsed="false">
      <c r="A16" s="17" t="str">
        <f aca="false">IF(B16="","","ACA-"&amp;TEXT(ROW()-3,"000"))</f>
        <v/>
      </c>
      <c r="B16" s="18"/>
      <c r="C16" s="19"/>
      <c r="D16" s="19"/>
      <c r="E16" s="19"/>
      <c r="F16" s="19"/>
      <c r="G16" s="18"/>
      <c r="H16" s="18"/>
      <c r="I16" s="19"/>
      <c r="J16" s="19"/>
      <c r="K16" s="18"/>
    </row>
    <row r="17" customFormat="false" ht="15" hidden="false" customHeight="true" outlineLevel="0" collapsed="false">
      <c r="A17" s="17" t="str">
        <f aca="false">IF(B17="","","ACA-"&amp;TEXT(ROW()-3,"000"))</f>
        <v/>
      </c>
      <c r="B17" s="18"/>
      <c r="C17" s="19"/>
      <c r="D17" s="19"/>
      <c r="E17" s="19"/>
      <c r="F17" s="19"/>
      <c r="G17" s="18"/>
      <c r="H17" s="18"/>
      <c r="I17" s="19"/>
      <c r="J17" s="19"/>
      <c r="K17" s="18"/>
    </row>
    <row r="18" customFormat="false" ht="15" hidden="false" customHeight="true" outlineLevel="0" collapsed="false">
      <c r="A18" s="17" t="str">
        <f aca="false">IF(B18="","","ACA-"&amp;TEXT(ROW()-3,"000"))</f>
        <v/>
      </c>
      <c r="B18" s="18"/>
      <c r="C18" s="19"/>
      <c r="D18" s="19"/>
      <c r="E18" s="19"/>
      <c r="F18" s="19"/>
      <c r="G18" s="18"/>
      <c r="H18" s="18"/>
      <c r="I18" s="19"/>
      <c r="J18" s="19"/>
      <c r="K18" s="18"/>
    </row>
    <row r="19" customFormat="false" ht="15" hidden="false" customHeight="true" outlineLevel="0" collapsed="false">
      <c r="A19" s="17" t="str">
        <f aca="false">IF(B19="","","ACA-"&amp;TEXT(ROW()-3,"000"))</f>
        <v/>
      </c>
      <c r="B19" s="18"/>
      <c r="C19" s="19"/>
      <c r="D19" s="19"/>
      <c r="E19" s="19"/>
      <c r="F19" s="19"/>
      <c r="G19" s="18"/>
      <c r="H19" s="18"/>
      <c r="I19" s="19"/>
      <c r="J19" s="19"/>
      <c r="K19" s="18"/>
    </row>
    <row r="20" customFormat="false" ht="15" hidden="false" customHeight="true" outlineLevel="0" collapsed="false">
      <c r="A20" s="17" t="str">
        <f aca="false">IF(B20="","","ACA-"&amp;TEXT(ROW()-3,"000"))</f>
        <v/>
      </c>
      <c r="B20" s="18"/>
      <c r="C20" s="19"/>
      <c r="D20" s="19"/>
      <c r="E20" s="19"/>
      <c r="F20" s="19"/>
      <c r="G20" s="18"/>
      <c r="H20" s="18"/>
      <c r="I20" s="19"/>
      <c r="J20" s="19"/>
      <c r="K20" s="18"/>
    </row>
    <row r="21" customFormat="false" ht="15" hidden="false" customHeight="true" outlineLevel="0" collapsed="false">
      <c r="A21" s="17" t="str">
        <f aca="false">IF(B21="","","ACA-"&amp;TEXT(ROW()-3,"000"))</f>
        <v/>
      </c>
      <c r="B21" s="18"/>
      <c r="C21" s="19"/>
      <c r="D21" s="19"/>
      <c r="E21" s="19"/>
      <c r="F21" s="19"/>
      <c r="G21" s="18"/>
      <c r="H21" s="18"/>
      <c r="I21" s="19"/>
      <c r="J21" s="19"/>
      <c r="K21" s="18"/>
    </row>
    <row r="22" customFormat="false" ht="15" hidden="false" customHeight="true" outlineLevel="0" collapsed="false">
      <c r="A22" s="17" t="str">
        <f aca="false">IF(B22="","","ACA-"&amp;TEXT(ROW()-3,"000"))</f>
        <v/>
      </c>
      <c r="B22" s="18"/>
      <c r="C22" s="19"/>
      <c r="D22" s="19"/>
      <c r="E22" s="19"/>
      <c r="F22" s="19"/>
      <c r="G22" s="18"/>
      <c r="H22" s="18"/>
      <c r="I22" s="19"/>
      <c r="J22" s="19"/>
      <c r="K22" s="18"/>
    </row>
    <row r="23" customFormat="false" ht="15" hidden="false" customHeight="true" outlineLevel="0" collapsed="false">
      <c r="A23" s="17" t="str">
        <f aca="false">IF(B23="","","ACA-"&amp;TEXT(ROW()-3,"000"))</f>
        <v/>
      </c>
      <c r="B23" s="18"/>
      <c r="C23" s="19"/>
      <c r="D23" s="19"/>
      <c r="E23" s="19"/>
      <c r="F23" s="19"/>
      <c r="G23" s="18"/>
      <c r="H23" s="18"/>
      <c r="I23" s="19"/>
      <c r="J23" s="19"/>
      <c r="K23" s="18"/>
    </row>
  </sheetData>
  <mergeCells count="2">
    <mergeCell ref="A1:K1"/>
    <mergeCell ref="A2:K2"/>
  </mergeCells>
  <dataValidations count="80"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4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4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4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4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5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5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5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5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6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6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6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6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7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7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7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7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8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8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8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8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9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9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9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9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0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0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0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0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1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1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1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1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2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2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2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2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3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3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3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3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4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4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4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4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5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5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5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5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6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6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6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6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7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7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7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7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8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8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8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8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9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9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9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19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20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20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20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20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21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21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21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21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22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22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22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22" type="list">
      <formula1>"Não iniciada,Em andamento,Concluída,Bloqueada,Cancelada"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23" type="list">
      <formula1>"Contenção,Erradicação,Recuperação,Corretiva,Comunicação,Investigação"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23" type="list">
      <formula1>"Prepare,Detect,Verify &amp; Triage,Scope,Contain,Eradicate,Recover,Debrief"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23" type="list">
      <formula1>"Baixa,Média,Alta,Crítica"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I23" type="list">
      <formula1>"Não iniciada,Em andamento,Concluída,Bloqueada,Cancelada"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33.75" hidden="false" customHeight="true" outlineLevel="0" collapsed="false">
      <c r="A1" s="2" t="s">
        <v>227</v>
      </c>
      <c r="B1" s="2"/>
      <c r="C1" s="2"/>
    </row>
    <row r="2" customFormat="false" ht="18" hidden="false" customHeight="true" outlineLevel="0" collapsed="false">
      <c r="A2" s="12" t="s">
        <v>26</v>
      </c>
      <c r="B2" s="12"/>
      <c r="C2" s="12"/>
    </row>
    <row r="3" customFormat="false" ht="30" hidden="false" customHeight="true" outlineLevel="0" collapsed="false">
      <c r="A3" s="13" t="s">
        <v>228</v>
      </c>
      <c r="B3" s="20" t="str">
        <f aca="false">IFERROR(Cadastro_Incidente!B12,"Não informado")</f>
        <v>Resposta técnica encerrada; acompanhamento regulatório em curso</v>
      </c>
      <c r="C3" s="21" t="s">
        <v>229</v>
      </c>
    </row>
    <row r="4" customFormat="false" ht="30" hidden="false" customHeight="true" outlineLevel="0" collapsed="false">
      <c r="A4" s="13" t="s">
        <v>230</v>
      </c>
      <c r="B4" s="22" t="n">
        <f aca="false">COUNTIFS(Plano_Acoes!B4:B200,"&lt;&gt;",Plano_Acoes!I4:I200,"&lt;&gt;Concluída",Plano_Acoes!I4:I200,"&lt;&gt;Cancelada")</f>
        <v>3</v>
      </c>
      <c r="C4" s="21" t="s">
        <v>231</v>
      </c>
    </row>
    <row r="5" customFormat="false" ht="30" hidden="false" customHeight="true" outlineLevel="0" collapsed="false">
      <c r="A5" s="13" t="s">
        <v>232</v>
      </c>
      <c r="B5" s="20" t="n">
        <f aca="false">COUNTIF(Plano_Acoes!I4:I200,"Concluída")</f>
        <v>3</v>
      </c>
      <c r="C5" s="21"/>
    </row>
    <row r="6" customFormat="false" ht="30" hidden="false" customHeight="true" outlineLevel="0" collapsed="false">
      <c r="A6" s="13" t="s">
        <v>233</v>
      </c>
      <c r="B6" s="20" t="n">
        <f aca="false">COUNTIF(Registro_Decisoes!F4:F200,"&lt;&gt;")</f>
        <v>4</v>
      </c>
      <c r="C6" s="21" t="s">
        <v>234</v>
      </c>
    </row>
    <row r="7" customFormat="false" ht="30" hidden="false" customHeight="true" outlineLevel="0" collapsed="false">
      <c r="A7" s="13" t="s">
        <v>235</v>
      </c>
      <c r="B7" s="20" t="n">
        <f aca="false">COUNTIF(Registro_Decisoes!B4:B200,"&gt;1")</f>
        <v>0</v>
      </c>
      <c r="C7" s="21" t="s">
        <v>236</v>
      </c>
    </row>
    <row r="8" customFormat="false" ht="30" hidden="false" customHeight="true" outlineLevel="0" collapsed="false">
      <c r="A8" s="13" t="s">
        <v>237</v>
      </c>
      <c r="B8" s="20" t="n">
        <f aca="false">COUNTIF(Linha_do_Tempo!C4:C200,"&lt;&gt;")</f>
        <v>10</v>
      </c>
      <c r="C8" s="21" t="s">
        <v>238</v>
      </c>
    </row>
    <row r="9" customFormat="false" ht="30" hidden="false" customHeight="true" outlineLevel="0" collapsed="false">
      <c r="A9" s="13" t="s">
        <v>239</v>
      </c>
      <c r="B9" s="22" t="n">
        <f aca="false">SUMPRODUCT((Linha_do_Tempo!G4:G200&lt;&gt;"")/COUNTIF(Linha_do_Tempo!G4:G200,Linha_do_Tempo!G4:G200&amp;""))</f>
        <v>2</v>
      </c>
      <c r="C9" s="21" t="s">
        <v>240</v>
      </c>
    </row>
    <row r="10" customFormat="false" ht="30" hidden="false" customHeight="true" outlineLevel="0" collapsed="false">
      <c r="A10" s="13" t="s">
        <v>241</v>
      </c>
      <c r="B10" s="20" t="n">
        <f aca="false">COUNTIF(Gestao_Evidencias!B4:B200,"&lt;&gt;")</f>
        <v>6</v>
      </c>
      <c r="C10" s="21" t="s">
        <v>242</v>
      </c>
    </row>
    <row r="11" customFormat="false" ht="30" hidden="false" customHeight="true" outlineLevel="0" collapsed="false">
      <c r="A11" s="13" t="s">
        <v>243</v>
      </c>
      <c r="B11" s="20" t="n">
        <f aca="false">COUNTIFS(Gestao_Evidencias!B4:B200,"&lt;&gt;",Gestao_Evidencias!G4:G200,"&lt;&gt;Sim")</f>
        <v>1</v>
      </c>
      <c r="C11" s="21" t="s">
        <v>244</v>
      </c>
    </row>
    <row r="12" customFormat="false" ht="30" hidden="false" customHeight="true" outlineLevel="0" collapsed="false">
      <c r="A12" s="13" t="s">
        <v>245</v>
      </c>
      <c r="B12" s="20" t="str">
        <f aca="false">IFERROR(TEXT(Cadastro_Incidente!B5-Cadastro_Incidente!B4,"[h]\h mm\m"),"Preencher datas no Cadastro")</f>
        <v>0h 15m</v>
      </c>
      <c r="C12" s="21" t="s">
        <v>246</v>
      </c>
    </row>
    <row r="13" customFormat="false" ht="30" hidden="false" customHeight="true" outlineLevel="0" collapsed="false">
      <c r="A13" s="13" t="s">
        <v>247</v>
      </c>
      <c r="B13" s="20" t="str">
        <f aca="false">"Consultar Instrumento 2 — avaliação de risco e decisão de comunicação"</f>
        <v>Consultar Instrumento 2 — avaliação de risco e decisão de comunicação</v>
      </c>
      <c r="C13" s="21" t="s">
        <v>248</v>
      </c>
    </row>
  </sheetData>
  <mergeCells count="2">
    <mergeCell ref="A1:C1"/>
    <mergeCell ref="A2:C2"/>
  </mergeCells>
  <conditionalFormatting sqref="B4">
    <cfRule type="cellIs" priority="2" operator="greaterThan" aboveAverage="0" equalAverage="0" bottom="0" percent="0" rank="0" text="" dxfId="0">
      <formula>0</formula>
    </cfRule>
  </conditionalFormatting>
  <conditionalFormatting sqref="B9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2026-10-20T19:32:46Z</dcterms:created>
  <dc:creator>openpyxl</dc:creator>
  <dc:description/>
  <dc:language>en-US</dc:language>
  <cp:lastModifiedBy/>
  <dcterms:modified xsi:type="dcterms:W3CDTF">2026-10-20T19:39:20Z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